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a0-my.sharepoint.com/personal/thienbao_carpency_afacademy_af_edu/Documents/Documents/Physics 310 Principles Nuclear/Fall 2024/Labs/"/>
    </mc:Choice>
  </mc:AlternateContent>
  <xr:revisionPtr revIDLastSave="0" documentId="8_{63F4E21B-A3BF-4748-A7F2-D0F7CBB00112}" xr6:coauthVersionLast="47" xr6:coauthVersionMax="47" xr10:uidLastSave="{00000000-0000-0000-0000-000000000000}"/>
  <bookViews>
    <workbookView xWindow="2475" yWindow="2505" windowWidth="21600" windowHeight="11235" tabRatio="544" firstSheet="1" activeTab="1" xr2:uid="{00000000-000D-0000-FFFF-FFFF00000000}"/>
  </bookViews>
  <sheets>
    <sheet name="Instructions" sheetId="2" r:id="rId1"/>
    <sheet name="Main" sheetId="1" r:id="rId2"/>
    <sheet name="Linear Plot" sheetId="5" r:id="rId3"/>
    <sheet name="Semi-Log Plot" sheetId="6" r:id="rId4"/>
  </sheets>
  <definedNames>
    <definedName name="_xlnm.Print_Area" localSheetId="1">Main!$A$1:$O$77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C58" i="1"/>
  <c r="C57" i="1"/>
  <c r="Z48" i="1"/>
  <c r="Z49" i="1" s="1"/>
  <c r="Z50" i="1" s="1"/>
  <c r="Z51" i="1" s="1"/>
  <c r="Z52" i="1" s="1"/>
  <c r="Z53" i="1" s="1"/>
  <c r="Z54" i="1" s="1"/>
  <c r="Z55" i="1" s="1"/>
  <c r="Z47" i="1"/>
  <c r="D52" i="1"/>
  <c r="D13" i="1" l="1"/>
  <c r="W5" i="1" l="1"/>
  <c r="W6" i="1"/>
  <c r="W7" i="1"/>
  <c r="W8" i="1"/>
  <c r="W9" i="1"/>
  <c r="W10" i="1"/>
  <c r="W11" i="1"/>
  <c r="W12" i="1"/>
  <c r="W4" i="1"/>
  <c r="Z4" i="1"/>
  <c r="H9" i="1"/>
  <c r="D14" i="1"/>
  <c r="D15" i="1"/>
  <c r="D16" i="1"/>
  <c r="D17" i="1"/>
  <c r="D18" i="1"/>
  <c r="D19" i="1"/>
  <c r="D20" i="1"/>
  <c r="D21" i="1"/>
  <c r="C15" i="1" l="1"/>
  <c r="C14" i="1"/>
  <c r="C13" i="1"/>
  <c r="C24" i="1" s="1"/>
  <c r="V17" i="1"/>
  <c r="D55" i="1"/>
  <c r="X5" i="1"/>
  <c r="Y5" i="1" s="1"/>
  <c r="C18" i="1"/>
  <c r="C17" i="1"/>
  <c r="C20" i="1"/>
  <c r="C19" i="1"/>
  <c r="X10" i="1" s="1"/>
  <c r="C21" i="1"/>
  <c r="Z5" i="1"/>
  <c r="Z6" i="1" s="1"/>
  <c r="C16" i="1"/>
  <c r="W22" i="1"/>
  <c r="X8" i="1" l="1"/>
  <c r="Y8" i="1" s="1"/>
  <c r="Y10" i="1"/>
  <c r="X9" i="1"/>
  <c r="Y9" i="1" s="1"/>
  <c r="X4" i="1"/>
  <c r="Y4" i="1" s="1"/>
  <c r="X6" i="1"/>
  <c r="Y6" i="1" s="1"/>
  <c r="X12" i="1"/>
  <c r="Y12" i="1" s="1"/>
  <c r="X7" i="1"/>
  <c r="Y7" i="1" s="1"/>
  <c r="X11" i="1"/>
  <c r="Y11" i="1" s="1"/>
  <c r="Z7" i="1"/>
  <c r="E13" i="1" l="1"/>
  <c r="V4" i="1" s="1"/>
  <c r="AA4" i="1"/>
  <c r="AB4" i="1" s="1"/>
  <c r="E15" i="1"/>
  <c r="V6" i="1" s="1"/>
  <c r="R4" i="1"/>
  <c r="T4" i="1" s="1"/>
  <c r="S9" i="1"/>
  <c r="U9" i="1" s="1"/>
  <c r="R8" i="1"/>
  <c r="T8" i="1" s="1"/>
  <c r="E21" i="1"/>
  <c r="V12" i="1" s="1"/>
  <c r="E18" i="1"/>
  <c r="V9" i="1" s="1"/>
  <c r="S6" i="1"/>
  <c r="U6" i="1" s="1"/>
  <c r="S10" i="1"/>
  <c r="U10" i="1" s="1"/>
  <c r="S11" i="1"/>
  <c r="U11" i="1" s="1"/>
  <c r="R5" i="1"/>
  <c r="T5" i="1" s="1"/>
  <c r="AA6" i="1"/>
  <c r="AB6" i="1" s="1"/>
  <c r="R11" i="1"/>
  <c r="T11" i="1" s="1"/>
  <c r="S7" i="1"/>
  <c r="U7" i="1" s="1"/>
  <c r="S8" i="1"/>
  <c r="U8" i="1" s="1"/>
  <c r="E17" i="1"/>
  <c r="V8" i="1" s="1"/>
  <c r="AA5" i="1"/>
  <c r="AB5" i="1" s="1"/>
  <c r="E20" i="1"/>
  <c r="V11" i="1" s="1"/>
  <c r="E16" i="1"/>
  <c r="V7" i="1" s="1"/>
  <c r="E19" i="1"/>
  <c r="V10" i="1" s="1"/>
  <c r="R6" i="1"/>
  <c r="T6" i="1" s="1"/>
  <c r="S5" i="1"/>
  <c r="U5" i="1" s="1"/>
  <c r="S12" i="1"/>
  <c r="U12" i="1" s="1"/>
  <c r="R7" i="1"/>
  <c r="T7" i="1" s="1"/>
  <c r="S4" i="1"/>
  <c r="U4" i="1" s="1"/>
  <c r="E14" i="1"/>
  <c r="V5" i="1" s="1"/>
  <c r="R9" i="1"/>
  <c r="T9" i="1" s="1"/>
  <c r="R12" i="1"/>
  <c r="T12" i="1" s="1"/>
  <c r="R10" i="1"/>
  <c r="T10" i="1" s="1"/>
  <c r="E57" i="1"/>
  <c r="AA7" i="1"/>
  <c r="AB7" i="1" s="1"/>
  <c r="Z8" i="1"/>
  <c r="V15" i="1" l="1"/>
  <c r="C27" i="1" s="1"/>
  <c r="AC4" i="1"/>
  <c r="AC5" i="1"/>
  <c r="E58" i="1"/>
  <c r="Z9" i="1"/>
  <c r="AA8" i="1"/>
  <c r="AB8" i="1" s="1"/>
  <c r="AC7" i="1"/>
  <c r="AC8" i="1"/>
  <c r="AC6" i="1"/>
  <c r="W21" i="1" l="1"/>
  <c r="X34" i="1" s="1"/>
  <c r="X35" i="1" s="1"/>
  <c r="AA9" i="1"/>
  <c r="AB9" i="1" s="1"/>
  <c r="Z10" i="1"/>
  <c r="AC9" i="1"/>
  <c r="Z11" i="1" l="1"/>
  <c r="AA10" i="1"/>
  <c r="AB10" i="1" s="1"/>
  <c r="AC10" i="1"/>
  <c r="AA11" i="1" l="1"/>
  <c r="AB11" i="1" s="1"/>
  <c r="Z12" i="1"/>
  <c r="AC11" i="1"/>
  <c r="AA12" i="1" l="1"/>
  <c r="AB12" i="1" s="1"/>
  <c r="Z13" i="1"/>
  <c r="AC12" i="1"/>
  <c r="AA13" i="1" l="1"/>
  <c r="AB13" i="1" s="1"/>
  <c r="Z14" i="1"/>
  <c r="AC13" i="1"/>
  <c r="Z15" i="1" l="1"/>
  <c r="AA14" i="1"/>
  <c r="AB14" i="1" s="1"/>
  <c r="AC14" i="1"/>
  <c r="AA15" i="1" l="1"/>
  <c r="AB15" i="1" s="1"/>
  <c r="Z16" i="1"/>
  <c r="AC15" i="1"/>
  <c r="Z17" i="1" l="1"/>
  <c r="AA16" i="1"/>
  <c r="AB16" i="1" s="1"/>
  <c r="AC16" i="1"/>
  <c r="AA17" i="1" l="1"/>
  <c r="AB17" i="1" s="1"/>
  <c r="Z18" i="1"/>
  <c r="AC17" i="1"/>
  <c r="Z19" i="1" l="1"/>
  <c r="AA18" i="1"/>
  <c r="AB18" i="1" s="1"/>
  <c r="AC18" i="1"/>
  <c r="AA19" i="1" l="1"/>
  <c r="AB19" i="1" s="1"/>
  <c r="Z20" i="1"/>
  <c r="AC19" i="1"/>
  <c r="AA20" i="1" l="1"/>
  <c r="AB20" i="1" s="1"/>
  <c r="Z21" i="1"/>
  <c r="AC20" i="1"/>
  <c r="AA21" i="1" l="1"/>
  <c r="AB21" i="1" s="1"/>
  <c r="Z22" i="1"/>
  <c r="AC21" i="1"/>
  <c r="Z28" i="1" l="1"/>
  <c r="AA22" i="1"/>
  <c r="AB22" i="1" s="1"/>
  <c r="AC22" i="1"/>
  <c r="AA28" i="1" l="1"/>
  <c r="AB28" i="1" s="1"/>
  <c r="Z29" i="1"/>
  <c r="AC28" i="1"/>
  <c r="Z30" i="1" l="1"/>
  <c r="AA29" i="1"/>
  <c r="AB29" i="1" s="1"/>
  <c r="AC29" i="1"/>
  <c r="AA30" i="1" l="1"/>
  <c r="AB30" i="1" s="1"/>
  <c r="Z31" i="1"/>
  <c r="AC30" i="1"/>
  <c r="Z32" i="1" l="1"/>
  <c r="AA31" i="1"/>
  <c r="AB31" i="1" s="1"/>
  <c r="AC31" i="1"/>
  <c r="AA32" i="1" l="1"/>
  <c r="AB32" i="1" s="1"/>
  <c r="Z33" i="1"/>
  <c r="AC32" i="1"/>
  <c r="AA33" i="1" l="1"/>
  <c r="AB33" i="1" s="1"/>
  <c r="Z34" i="1"/>
  <c r="AC33" i="1"/>
  <c r="AA34" i="1" l="1"/>
  <c r="AB34" i="1" s="1"/>
  <c r="Z35" i="1"/>
  <c r="AC34" i="1"/>
  <c r="Z36" i="1" l="1"/>
  <c r="AA35" i="1"/>
  <c r="AB35" i="1" s="1"/>
  <c r="AC35" i="1"/>
  <c r="AA36" i="1" l="1"/>
  <c r="AB36" i="1" s="1"/>
  <c r="Z37" i="1"/>
  <c r="AC36" i="1"/>
  <c r="Z38" i="1" l="1"/>
  <c r="AA37" i="1"/>
  <c r="AB37" i="1" s="1"/>
  <c r="AC37" i="1"/>
  <c r="AA38" i="1" l="1"/>
  <c r="AB38" i="1" s="1"/>
  <c r="Z39" i="1"/>
  <c r="AC38" i="1"/>
  <c r="Z40" i="1" l="1"/>
  <c r="AA39" i="1"/>
  <c r="AB39" i="1" s="1"/>
  <c r="AC39" i="1"/>
  <c r="AA40" i="1" l="1"/>
  <c r="AB40" i="1" s="1"/>
  <c r="Z41" i="1"/>
  <c r="AC40" i="1"/>
  <c r="AA41" i="1" l="1"/>
  <c r="AB41" i="1" s="1"/>
  <c r="Z42" i="1"/>
  <c r="AC41" i="1"/>
  <c r="AA42" i="1" l="1"/>
  <c r="AB42" i="1" s="1"/>
  <c r="Z43" i="1"/>
  <c r="AC42" i="1"/>
  <c r="Z44" i="1" l="1"/>
  <c r="AA43" i="1"/>
  <c r="AB43" i="1" s="1"/>
  <c r="AC43" i="1"/>
  <c r="AA44" i="1" l="1"/>
  <c r="AB44" i="1" s="1"/>
  <c r="Z45" i="1"/>
  <c r="AC44" i="1"/>
  <c r="Z46" i="1" l="1"/>
  <c r="AA45" i="1"/>
  <c r="AB45" i="1" s="1"/>
  <c r="AC45" i="1"/>
  <c r="AA46" i="1" l="1"/>
  <c r="AB46" i="1" s="1"/>
  <c r="AC46" i="1"/>
  <c r="AA47" i="1" l="1"/>
  <c r="AB47" i="1" s="1"/>
  <c r="AC47" i="1"/>
  <c r="AA48" i="1" l="1"/>
  <c r="AB48" i="1" s="1"/>
  <c r="AC48" i="1"/>
  <c r="AA49" i="1" l="1"/>
  <c r="AB49" i="1" s="1"/>
  <c r="AC49" i="1"/>
  <c r="AA50" i="1" l="1"/>
  <c r="AB50" i="1" s="1"/>
  <c r="AC50" i="1"/>
  <c r="AA51" i="1" l="1"/>
  <c r="AB51" i="1" s="1"/>
  <c r="AC51" i="1"/>
  <c r="AA52" i="1" l="1"/>
  <c r="AB52" i="1" s="1"/>
  <c r="AC52" i="1"/>
  <c r="AA53" i="1" l="1"/>
  <c r="AB53" i="1" s="1"/>
  <c r="AC53" i="1"/>
  <c r="AA54" i="1" l="1"/>
  <c r="AB54" i="1" s="1"/>
  <c r="AC54" i="1"/>
  <c r="AA55" i="1" l="1"/>
  <c r="AB55" i="1" s="1"/>
  <c r="AC55" i="1"/>
</calcChain>
</file>

<file path=xl/sharedStrings.xml><?xml version="1.0" encoding="utf-8"?>
<sst xmlns="http://schemas.openxmlformats.org/spreadsheetml/2006/main" count="115" uniqueCount="97">
  <si>
    <t>Radioactive Decay Spreadsheet</t>
  </si>
  <si>
    <t xml:space="preserve"> Determination of the Half-Life of a Radioactive Sample via Graphical Analysis of Data </t>
  </si>
  <si>
    <t>Enter data into the BLUE and HIGHLIGHTED text fields</t>
  </si>
  <si>
    <t>Section 1.  Source Data</t>
  </si>
  <si>
    <r>
      <t xml:space="preserve">The </t>
    </r>
    <r>
      <rPr>
        <b/>
        <sz val="10"/>
        <rFont val="Arial"/>
        <family val="2"/>
      </rPr>
      <t>Time</t>
    </r>
    <r>
      <rPr>
        <sz val="10"/>
        <rFont val="Arial"/>
        <family val="2"/>
      </rPr>
      <t xml:space="preserve"> column (A13-A21) is the start time for each counting interval, in minutes.</t>
    </r>
  </si>
  <si>
    <r>
      <t xml:space="preserve">Enter </t>
    </r>
    <r>
      <rPr>
        <b/>
        <sz val="10"/>
        <rFont val="Arial"/>
        <family val="2"/>
      </rPr>
      <t>counting time interval</t>
    </r>
    <r>
      <rPr>
        <sz val="10"/>
        <rFont val="Arial"/>
        <family val="2"/>
      </rPr>
      <t xml:space="preserve"> in cell B9; each interval must be the same duration</t>
    </r>
  </si>
  <si>
    <r>
      <t xml:space="preserve">The </t>
    </r>
    <r>
      <rPr>
        <b/>
        <sz val="10"/>
        <rFont val="Arial"/>
        <family val="2"/>
      </rPr>
      <t>Raw Activity</t>
    </r>
    <r>
      <rPr>
        <sz val="10"/>
        <rFont val="Arial"/>
        <family val="2"/>
      </rPr>
      <t xml:space="preserve"> column (B13-B21) is the actual counts recorded by the counter.</t>
    </r>
  </si>
  <si>
    <t>These data are the number of counts in the time interval recorded in cell B9.</t>
  </si>
  <si>
    <t>Section 2.  Background Data</t>
  </si>
  <si>
    <t>Background activity is usually collected over a longer time than source activity in order to improve the counting statistics.</t>
  </si>
  <si>
    <t>Enter background counting time in cell H8.</t>
  </si>
  <si>
    <t>Enter background counts in cell H7.</t>
  </si>
  <si>
    <t>The average background in counts/min is calculated for cell H9.</t>
  </si>
  <si>
    <t>Section 3. Fitting Parameters</t>
  </si>
  <si>
    <t>Calculate an approximate half-life using data you've taken, and put into cell C25</t>
  </si>
  <si>
    <t>The Goodness of Fit parameter "Reduced Chi-Square" is displayed in cell C27.</t>
  </si>
  <si>
    <t>Closer to 1 is better.</t>
  </si>
  <si>
    <t xml:space="preserve">Adjust the half-life approximation to try to make your reduced chi-square value as close to 1 as possible. </t>
  </si>
  <si>
    <t xml:space="preserve"> Calculate an approximate error for the half-life, and put into cell C26. This will create dashed lines on the plots. </t>
  </si>
  <si>
    <t>The dashed lines show the effects of +/- one standard deviation</t>
  </si>
  <si>
    <t>This range should encompass 2/3 of the data points with their error bars.</t>
  </si>
  <si>
    <t>Adjust the value in cell C26 to achieve this result</t>
  </si>
  <si>
    <t>Add a trendline to the semi-log plot on the left (right click on the line, select “Add Trendline”, and then use the tab that pops up to select "linear" and to display the equation and R^2 value).</t>
  </si>
  <si>
    <t>Add a trendline to the plot on the right (select "exponential" rather than linear for the type of line)</t>
  </si>
  <si>
    <t>Section 4. Regression Analysis</t>
  </si>
  <si>
    <t xml:space="preserve">Put the values from the semi-log trendline into the boxes above the plot. </t>
  </si>
  <si>
    <t>Radioactive Decay</t>
  </si>
  <si>
    <t>Cs-137 Sample:</t>
  </si>
  <si>
    <t>P-102</t>
  </si>
  <si>
    <t>LAB GROUP:</t>
  </si>
  <si>
    <t>Calculations - DO NOT CHANGE THIS SECTION, IT IS USED TO CREATE THE PLOTS</t>
  </si>
  <si>
    <t xml:space="preserve">Determination of the Half-Life of a Radioactive Sample via Graphical Analysis of Data </t>
  </si>
  <si>
    <t>(for plotting max/min)</t>
  </si>
  <si>
    <t>LN</t>
  </si>
  <si>
    <t>for Chisq</t>
  </si>
  <si>
    <t>Time^2</t>
  </si>
  <si>
    <t>LN(Activity)</t>
  </si>
  <si>
    <t>LN(Unc)</t>
  </si>
  <si>
    <t>Time</t>
  </si>
  <si>
    <t>Man Fitted</t>
  </si>
  <si>
    <t>Regr Fitted</t>
  </si>
  <si>
    <t>+</t>
  </si>
  <si>
    <t>-</t>
  </si>
  <si>
    <t>diff</t>
  </si>
  <si>
    <t>(min^2)</t>
  </si>
  <si>
    <t>(minutes)</t>
  </si>
  <si>
    <t>(cts/min)</t>
  </si>
  <si>
    <t>START BY READING THE 'INSTRUCTIONS TAB'</t>
  </si>
  <si>
    <t>1.  Source Activity Data:</t>
  </si>
  <si>
    <t>2. Background Activity Data:</t>
  </si>
  <si>
    <r>
      <t xml:space="preserve">Activity of a </t>
    </r>
    <r>
      <rPr>
        <b/>
        <vertAlign val="superscript"/>
        <sz val="12"/>
        <rFont val="Arial"/>
        <family val="2"/>
      </rPr>
      <t>137</t>
    </r>
    <r>
      <rPr>
        <b/>
        <sz val="12"/>
        <rFont val="Arial"/>
        <family val="2"/>
      </rPr>
      <t>Ba* sample</t>
    </r>
  </si>
  <si>
    <t>total counts:</t>
  </si>
  <si>
    <t>counts</t>
  </si>
  <si>
    <t>Counting time:</t>
  </si>
  <si>
    <t>counting time:</t>
  </si>
  <si>
    <t>minutes</t>
  </si>
  <si>
    <t xml:space="preserve"> minutes</t>
  </si>
  <si>
    <t>Bkg Activity:</t>
  </si>
  <si>
    <t>cts/min</t>
  </si>
  <si>
    <t>Raw Activity</t>
  </si>
  <si>
    <t>Net Activity</t>
  </si>
  <si>
    <t>Uncertainty</t>
  </si>
  <si>
    <t>Fitted</t>
  </si>
  <si>
    <t>(counts)</t>
  </si>
  <si>
    <t>(Raw Data)</t>
  </si>
  <si>
    <t>+/-</t>
  </si>
  <si>
    <t>sum (Chisq)</t>
  </si>
  <si>
    <t>No. pnts:</t>
  </si>
  <si>
    <t>Deg of freedom:</t>
  </si>
  <si>
    <t>avg var:</t>
  </si>
  <si>
    <t>Taylor Eq 8.14</t>
  </si>
  <si>
    <t>D:</t>
  </si>
  <si>
    <t>Taylor Eq 8.12</t>
  </si>
  <si>
    <t>3. Fitting Parameters:</t>
  </si>
  <si>
    <t>Initial Activity:</t>
  </si>
  <si>
    <t>Half-Life:</t>
  </si>
  <si>
    <t>error +/-</t>
  </si>
  <si>
    <t>Goodness of Fit:</t>
  </si>
  <si>
    <t>(Chisq/Deg of freedom)</t>
  </si>
  <si>
    <t>Unc slope:</t>
  </si>
  <si>
    <t>Unc HL:</t>
  </si>
  <si>
    <t>min</t>
  </si>
  <si>
    <t>4. Regression Analysis</t>
  </si>
  <si>
    <t>Using "Linear Regression"</t>
  </si>
  <si>
    <t>Using "Exponential Fitting" regression</t>
  </si>
  <si>
    <t>Slope =</t>
  </si>
  <si>
    <t>1/min</t>
  </si>
  <si>
    <t>Intercept =</t>
  </si>
  <si>
    <t>ln(counts) -&gt;</t>
  </si>
  <si>
    <r>
      <t>R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=</t>
    </r>
  </si>
  <si>
    <t>Calculated uncertainty in the slope =</t>
  </si>
  <si>
    <t>counts/min</t>
  </si>
  <si>
    <t>using R^2</t>
  </si>
  <si>
    <r>
      <t>Decay Constant (</t>
    </r>
    <r>
      <rPr>
        <sz val="10"/>
        <rFont val="Symbol"/>
        <family val="1"/>
        <charset val="2"/>
      </rPr>
      <t>l</t>
    </r>
    <r>
      <rPr>
        <sz val="10"/>
        <rFont val="Arial"/>
        <family val="2"/>
      </rPr>
      <t>) =</t>
    </r>
  </si>
  <si>
    <t>1/min  +/-</t>
  </si>
  <si>
    <t>Half-Life =</t>
  </si>
  <si>
    <t>min     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</si>
</sst>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6"/>
      <name val="Arial"/>
      <family val="2"/>
    </font>
    <font>
      <sz val="10"/>
      <color indexed="37"/>
      <name val="Arial"/>
      <family val="2"/>
    </font>
    <font>
      <b/>
      <sz val="10"/>
      <name val="Times New Roman"/>
      <family val="1"/>
    </font>
    <font>
      <sz val="10"/>
      <name val="Symbol"/>
      <family val="1"/>
      <charset val="2"/>
    </font>
    <font>
      <b/>
      <sz val="10"/>
      <color rgb="FF0000FF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0"/>
      <color theme="5"/>
      <name val="Arial"/>
      <family val="2"/>
    </font>
    <font>
      <b/>
      <vertAlign val="superscript"/>
      <sz val="12"/>
      <name val="Arial"/>
      <family val="2"/>
    </font>
    <font>
      <b/>
      <sz val="10"/>
      <color rgb="FFFF0000"/>
      <name val="Arial"/>
      <family val="2"/>
    </font>
    <font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6" fillId="0" borderId="0" xfId="0" applyFont="1"/>
    <xf numFmtId="0" fontId="4" fillId="0" borderId="0" xfId="0" applyFont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5" xfId="0" applyFill="1" applyBorder="1"/>
    <xf numFmtId="0" fontId="0" fillId="2" borderId="5" xfId="0" quotePrefix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2" borderId="7" xfId="0" applyFill="1" applyBorder="1"/>
    <xf numFmtId="1" fontId="9" fillId="2" borderId="5" xfId="0" applyNumberFormat="1" applyFont="1" applyFill="1" applyBorder="1"/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8" fillId="2" borderId="9" xfId="0" applyFont="1" applyFill="1" applyBorder="1"/>
    <xf numFmtId="0" fontId="10" fillId="0" borderId="0" xfId="0" applyFont="1"/>
    <xf numFmtId="0" fontId="1" fillId="0" borderId="0" xfId="0" applyFont="1"/>
    <xf numFmtId="2" fontId="0" fillId="0" borderId="0" xfId="0" applyNumberFormat="1"/>
    <xf numFmtId="0" fontId="5" fillId="7" borderId="5" xfId="0" applyFont="1" applyFill="1" applyBorder="1" applyProtection="1">
      <protection locked="0"/>
    </xf>
    <xf numFmtId="0" fontId="5" fillId="7" borderId="0" xfId="0" applyFont="1" applyFill="1" applyAlignment="1" applyProtection="1">
      <alignment horizontal="right"/>
      <protection locked="0"/>
    </xf>
    <xf numFmtId="0" fontId="5" fillId="7" borderId="0" xfId="0" applyFont="1" applyFill="1" applyProtection="1">
      <protection locked="0"/>
    </xf>
    <xf numFmtId="0" fontId="5" fillId="7" borderId="9" xfId="0" applyFont="1" applyFill="1" applyBorder="1" applyProtection="1">
      <protection locked="0"/>
    </xf>
    <xf numFmtId="2" fontId="5" fillId="7" borderId="5" xfId="0" applyNumberFormat="1" applyFont="1" applyFill="1" applyBorder="1" applyProtection="1">
      <protection locked="0"/>
    </xf>
    <xf numFmtId="0" fontId="12" fillId="7" borderId="0" xfId="0" applyFont="1" applyFill="1"/>
    <xf numFmtId="0" fontId="3" fillId="7" borderId="0" xfId="0" applyFont="1" applyFill="1"/>
    <xf numFmtId="0" fontId="0" fillId="7" borderId="0" xfId="0" applyFill="1"/>
    <xf numFmtId="0" fontId="17" fillId="0" borderId="10" xfId="0" applyFont="1" applyBorder="1"/>
    <xf numFmtId="0" fontId="4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/>
    <xf numFmtId="0" fontId="1" fillId="3" borderId="0" xfId="0" applyFont="1" applyFill="1"/>
    <xf numFmtId="0" fontId="1" fillId="4" borderId="14" xfId="0" applyFont="1" applyFill="1" applyBorder="1"/>
    <xf numFmtId="0" fontId="0" fillId="0" borderId="13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/>
    <xf numFmtId="2" fontId="0" fillId="5" borderId="0" xfId="0" applyNumberFormat="1" applyFill="1"/>
    <xf numFmtId="164" fontId="0" fillId="3" borderId="0" xfId="0" applyNumberFormat="1" applyFill="1"/>
    <xf numFmtId="2" fontId="0" fillId="4" borderId="14" xfId="0" applyNumberFormat="1" applyFill="1" applyBorder="1"/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right"/>
    </xf>
    <xf numFmtId="164" fontId="0" fillId="6" borderId="0" xfId="0" applyNumberFormat="1" applyFill="1"/>
    <xf numFmtId="0" fontId="1" fillId="6" borderId="0" xfId="0" applyFont="1" applyFill="1"/>
    <xf numFmtId="0" fontId="0" fillId="6" borderId="0" xfId="0" applyFill="1"/>
    <xf numFmtId="0" fontId="11" fillId="6" borderId="0" xfId="0" applyFont="1" applyFill="1" applyAlignment="1">
      <alignment horizontal="right"/>
    </xf>
    <xf numFmtId="0" fontId="0" fillId="0" borderId="16" xfId="0" applyBorder="1"/>
    <xf numFmtId="164" fontId="0" fillId="3" borderId="16" xfId="0" applyNumberFormat="1" applyFill="1" applyBorder="1"/>
    <xf numFmtId="2" fontId="0" fillId="4" borderId="17" xfId="0" applyNumberFormat="1" applyFill="1" applyBorder="1"/>
    <xf numFmtId="0" fontId="2" fillId="0" borderId="10" xfId="0" applyFont="1" applyBorder="1"/>
    <xf numFmtId="0" fontId="2" fillId="0" borderId="11" xfId="0" applyFont="1" applyBorder="1"/>
    <xf numFmtId="0" fontId="0" fillId="0" borderId="11" xfId="0" applyBorder="1" applyAlignment="1">
      <alignment horizontal="right"/>
    </xf>
    <xf numFmtId="0" fontId="6" fillId="0" borderId="11" xfId="0" applyFont="1" applyBorder="1"/>
    <xf numFmtId="0" fontId="6" fillId="0" borderId="13" xfId="0" applyFont="1" applyBorder="1"/>
    <xf numFmtId="0" fontId="3" fillId="0" borderId="0" xfId="0" applyFont="1"/>
    <xf numFmtId="0" fontId="0" fillId="0" borderId="14" xfId="0" applyBorder="1"/>
    <xf numFmtId="0" fontId="12" fillId="7" borderId="13" xfId="0" applyFont="1" applyFill="1" applyBorder="1"/>
    <xf numFmtId="0" fontId="0" fillId="0" borderId="13" xfId="0" applyBorder="1"/>
    <xf numFmtId="0" fontId="4" fillId="2" borderId="18" xfId="0" applyFont="1" applyFill="1" applyBorder="1" applyProtection="1">
      <protection locked="0"/>
    </xf>
    <xf numFmtId="0" fontId="3" fillId="2" borderId="13" xfId="0" applyFont="1" applyFill="1" applyBorder="1"/>
    <xf numFmtId="0" fontId="0" fillId="2" borderId="13" xfId="0" applyFill="1" applyBorder="1"/>
    <xf numFmtId="0" fontId="6" fillId="2" borderId="19" xfId="0" applyFont="1" applyFill="1" applyBorder="1" applyAlignment="1">
      <alignment horizontal="right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15" fillId="2" borderId="19" xfId="0" applyFont="1" applyFill="1" applyBorder="1" applyProtection="1">
      <protection locked="0"/>
    </xf>
    <xf numFmtId="1" fontId="0" fillId="0" borderId="0" xfId="0" applyNumberFormat="1"/>
    <xf numFmtId="0" fontId="1" fillId="0" borderId="0" xfId="0" quotePrefix="1" applyFont="1"/>
    <xf numFmtId="0" fontId="6" fillId="3" borderId="1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13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3" fillId="5" borderId="13" xfId="0" applyFont="1" applyFill="1" applyBorder="1" applyAlignment="1">
      <alignment horizontal="right"/>
    </xf>
    <xf numFmtId="0" fontId="1" fillId="5" borderId="0" xfId="0" quotePrefix="1" applyFont="1" applyFill="1"/>
    <xf numFmtId="0" fontId="0" fillId="4" borderId="0" xfId="0" applyFill="1"/>
    <xf numFmtId="1" fontId="0" fillId="5" borderId="0" xfId="0" applyNumberFormat="1" applyFill="1"/>
    <xf numFmtId="0" fontId="0" fillId="5" borderId="13" xfId="0" applyFill="1" applyBorder="1"/>
    <xf numFmtId="0" fontId="1" fillId="5" borderId="0" xfId="0" applyFont="1" applyFill="1" applyAlignment="1">
      <alignment horizontal="right"/>
    </xf>
    <xf numFmtId="0" fontId="1" fillId="5" borderId="0" xfId="0" applyFont="1" applyFill="1" applyAlignment="1">
      <alignment horizontal="left"/>
    </xf>
    <xf numFmtId="164" fontId="0" fillId="5" borderId="0" xfId="0" applyNumberFormat="1" applyFill="1"/>
    <xf numFmtId="164" fontId="0" fillId="4" borderId="0" xfId="0" applyNumberFormat="1" applyFill="1"/>
    <xf numFmtId="0" fontId="0" fillId="0" borderId="15" xfId="0" applyBorder="1"/>
    <xf numFmtId="0" fontId="1" fillId="8" borderId="0" xfId="0" applyFont="1" applyFill="1"/>
    <xf numFmtId="0" fontId="18" fillId="2" borderId="5" xfId="0" applyFont="1" applyFill="1" applyBorder="1" applyAlignment="1">
      <alignment horizontal="right"/>
    </xf>
    <xf numFmtId="0" fontId="0" fillId="9" borderId="7" xfId="0" applyFill="1" applyBorder="1"/>
    <xf numFmtId="0" fontId="0" fillId="9" borderId="8" xfId="0" applyFill="1" applyBorder="1"/>
    <xf numFmtId="0" fontId="7" fillId="9" borderId="6" xfId="0" applyFont="1" applyFill="1" applyBorder="1"/>
    <xf numFmtId="0" fontId="4" fillId="9" borderId="6" xfId="0" applyFont="1" applyFill="1" applyBorder="1"/>
    <xf numFmtId="0" fontId="7" fillId="9" borderId="6" xfId="0" applyFont="1" applyFill="1" applyBorder="1" applyAlignment="1">
      <alignment horizontal="left"/>
    </xf>
    <xf numFmtId="0" fontId="7" fillId="9" borderId="18" xfId="0" applyFont="1" applyFill="1" applyBorder="1"/>
    <xf numFmtId="0" fontId="0" fillId="9" borderId="7" xfId="0" applyFill="1" applyBorder="1" applyProtection="1">
      <protection locked="0"/>
    </xf>
    <xf numFmtId="0" fontId="0" fillId="9" borderId="8" xfId="0" applyFill="1" applyBorder="1" applyProtection="1">
      <protection locked="0"/>
    </xf>
    <xf numFmtId="0" fontId="6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quotePrefix="1" applyFont="1" applyFill="1" applyAlignment="1">
      <alignment horizontal="right"/>
    </xf>
    <xf numFmtId="1" fontId="15" fillId="10" borderId="0" xfId="0" applyNumberFormat="1" applyFont="1" applyFill="1" applyProtection="1">
      <protection locked="0"/>
    </xf>
    <xf numFmtId="0" fontId="0" fillId="10" borderId="2" xfId="0" applyFill="1" applyBorder="1" applyAlignment="1">
      <alignment horizontal="right"/>
    </xf>
    <xf numFmtId="0" fontId="0" fillId="10" borderId="3" xfId="0" applyFill="1" applyBorder="1" applyAlignment="1">
      <alignment horizontal="right"/>
    </xf>
    <xf numFmtId="0" fontId="0" fillId="10" borderId="0" xfId="0" applyFill="1"/>
    <xf numFmtId="2" fontId="8" fillId="10" borderId="0" xfId="0" applyNumberFormat="1" applyFont="1" applyFill="1"/>
    <xf numFmtId="0" fontId="0" fillId="10" borderId="0" xfId="0" applyFill="1" applyAlignment="1">
      <alignment horizontal="left"/>
    </xf>
    <xf numFmtId="0" fontId="17" fillId="7" borderId="13" xfId="0" applyFont="1" applyFill="1" applyBorder="1"/>
    <xf numFmtId="1" fontId="1" fillId="0" borderId="13" xfId="0" applyNumberFormat="1" applyFont="1" applyBorder="1"/>
    <xf numFmtId="1" fontId="1" fillId="0" borderId="0" xfId="0" applyNumberFormat="1" applyFont="1"/>
    <xf numFmtId="0" fontId="1" fillId="0" borderId="13" xfId="0" applyFont="1" applyBorder="1"/>
    <xf numFmtId="164" fontId="1" fillId="0" borderId="0" xfId="0" applyNumberFormat="1" applyFont="1"/>
    <xf numFmtId="0" fontId="1" fillId="0" borderId="15" xfId="0" applyFont="1" applyBorder="1"/>
    <xf numFmtId="0" fontId="1" fillId="0" borderId="16" xfId="0" applyFont="1" applyBorder="1"/>
    <xf numFmtId="0" fontId="1" fillId="0" borderId="14" xfId="0" applyFont="1" applyBorder="1"/>
    <xf numFmtId="0" fontId="1" fillId="0" borderId="17" xfId="0" applyFont="1" applyBorder="1"/>
    <xf numFmtId="0" fontId="6" fillId="5" borderId="1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C0DA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chartsheet" Target="chartsheets/sheet2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Standard Activity vs.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Main!$C$10:$C$11</c:f>
              <c:strCache>
                <c:ptCount val="2"/>
                <c:pt idx="0">
                  <c:v>Net Activity</c:v>
                </c:pt>
                <c:pt idx="1">
                  <c:v>(cts/min)</c:v>
                </c:pt>
              </c:strCache>
            </c:strRef>
          </c:tx>
          <c:spPr>
            <a:ln w="28575">
              <a:noFill/>
            </a:ln>
          </c:spPr>
          <c:trendline>
            <c:trendlineType val="log"/>
            <c:dispRSqr val="0"/>
            <c:dispEq val="0"/>
          </c:trendline>
          <c:trendline>
            <c:trendlineType val="exp"/>
            <c:dispRSqr val="1"/>
            <c:dispEq val="1"/>
            <c:trendlineLbl>
              <c:layout>
                <c:manualLayout>
                  <c:x val="-1.2787226024986439E-2"/>
                  <c:y val="-0.37257458613065964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Main!$A$12:$A$21</c:f>
              <c:numCache>
                <c:formatCode>General</c:formatCode>
                <c:ptCount val="10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xVal>
          <c:yVal>
            <c:numRef>
              <c:f>Main!$C$12:$C$21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69-D04F-9B4D-65F2DDE45764}"/>
            </c:ext>
          </c:extLst>
        </c:ser>
        <c:ser>
          <c:idx val="1"/>
          <c:order val="1"/>
          <c:tx>
            <c:strRef>
              <c:f>Main!$AA$2:$AA$3</c:f>
              <c:strCache>
                <c:ptCount val="2"/>
                <c:pt idx="0">
                  <c:v>Man Fitted</c:v>
                </c:pt>
                <c:pt idx="1">
                  <c:v>(cts/min)</c:v>
                </c:pt>
              </c:strCache>
            </c:strRef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Main!$Z$4:$Z$55</c:f>
              <c:numCache>
                <c:formatCode>0.00</c:formatCode>
                <c:ptCount val="52"/>
                <c:pt idx="0" formatCode="General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0.83333333333333326</c:v>
                </c:pt>
                <c:pt idx="6">
                  <c:v>0.99999999999999989</c:v>
                </c:pt>
                <c:pt idx="7">
                  <c:v>1.1666666666666665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24">
                  <c:v>3.1666666666666656</c:v>
                </c:pt>
                <c:pt idx="25">
                  <c:v>3.3333333333333321</c:v>
                </c:pt>
                <c:pt idx="26">
                  <c:v>3.4999999999999987</c:v>
                </c:pt>
                <c:pt idx="27">
                  <c:v>3.6666666666666652</c:v>
                </c:pt>
                <c:pt idx="28">
                  <c:v>3.8333333333333317</c:v>
                </c:pt>
                <c:pt idx="29">
                  <c:v>3.9999999999999982</c:v>
                </c:pt>
                <c:pt idx="30">
                  <c:v>4.1666666666666652</c:v>
                </c:pt>
                <c:pt idx="31">
                  <c:v>4.3333333333333321</c:v>
                </c:pt>
                <c:pt idx="32">
                  <c:v>4.4999999999999991</c:v>
                </c:pt>
                <c:pt idx="33">
                  <c:v>4.6666666666666661</c:v>
                </c:pt>
                <c:pt idx="34">
                  <c:v>4.833333333333333</c:v>
                </c:pt>
                <c:pt idx="35">
                  <c:v>5</c:v>
                </c:pt>
                <c:pt idx="36">
                  <c:v>5.166666666666667</c:v>
                </c:pt>
                <c:pt idx="37">
                  <c:v>5.3333333333333339</c:v>
                </c:pt>
                <c:pt idx="38">
                  <c:v>5.5000000000000009</c:v>
                </c:pt>
                <c:pt idx="39">
                  <c:v>5.6666666666666679</c:v>
                </c:pt>
                <c:pt idx="40">
                  <c:v>5.8333333333333348</c:v>
                </c:pt>
                <c:pt idx="41">
                  <c:v>6.0000000000000018</c:v>
                </c:pt>
                <c:pt idx="42">
                  <c:v>6.1666666666666687</c:v>
                </c:pt>
                <c:pt idx="43">
                  <c:v>6.3333333333333357</c:v>
                </c:pt>
                <c:pt idx="44">
                  <c:v>6.5000000000000027</c:v>
                </c:pt>
                <c:pt idx="45">
                  <c:v>6.6666666666666696</c:v>
                </c:pt>
                <c:pt idx="46">
                  <c:v>6.8333333333333366</c:v>
                </c:pt>
                <c:pt idx="47">
                  <c:v>7.0000000000000036</c:v>
                </c:pt>
                <c:pt idx="48">
                  <c:v>7.1666666666666705</c:v>
                </c:pt>
                <c:pt idx="49">
                  <c:v>7.3333333333333375</c:v>
                </c:pt>
                <c:pt idx="50">
                  <c:v>7.5000000000000044</c:v>
                </c:pt>
                <c:pt idx="51">
                  <c:v>7.6666666666666714</c:v>
                </c:pt>
              </c:numCache>
            </c:numRef>
          </c:xVal>
          <c:yVal>
            <c:numRef>
              <c:f>Main!$AA$4:$AA$55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69-D04F-9B4D-65F2DDE45764}"/>
            </c:ext>
          </c:extLst>
        </c:ser>
        <c:ser>
          <c:idx val="2"/>
          <c:order val="2"/>
          <c:tx>
            <c:v>Uncertainty</c:v>
          </c:tx>
          <c:spPr>
            <a:ln w="127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Main!$R$4:$R$12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69-D04F-9B4D-65F2DDE45764}"/>
            </c:ext>
          </c:extLst>
        </c:ser>
        <c:ser>
          <c:idx val="3"/>
          <c:order val="3"/>
          <c:spPr>
            <a:ln w="127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Main!$S$4:$S$12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69-D04F-9B4D-65F2DDE45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33088"/>
        <c:axId val="172651648"/>
      </c:scatterChart>
      <c:valAx>
        <c:axId val="17263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51648"/>
        <c:crosses val="autoZero"/>
        <c:crossBetween val="midCat"/>
      </c:valAx>
      <c:valAx>
        <c:axId val="172651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Activity</a:t>
                </a:r>
                <a:r>
                  <a:rPr lang="en-US" baseline="0"/>
                  <a:t> (Counts)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633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Semi-Log Activity vs.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Main!$C$10:$C$11</c:f>
              <c:strCache>
                <c:ptCount val="2"/>
                <c:pt idx="0">
                  <c:v>Net Activity</c:v>
                </c:pt>
                <c:pt idx="1">
                  <c:v>(cts/min)</c:v>
                </c:pt>
              </c:strCache>
            </c:strRef>
          </c:tx>
          <c:spPr>
            <a:ln w="28575">
              <a:noFill/>
            </a:ln>
          </c:spPr>
          <c:trendline>
            <c:trendlineType val="log"/>
            <c:dispRSqr val="0"/>
            <c:dispEq val="0"/>
          </c:trendline>
          <c:trendline>
            <c:trendlineType val="exp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32085642072518711"/>
                  <c:y val="-9.0273767862350543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Main!$Y$4:$Y$12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Main!$Y$4:$Y$12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Main!$X$4:$X$12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C-A64B-8890-F565ECA5BB25}"/>
            </c:ext>
          </c:extLst>
        </c:ser>
        <c:ser>
          <c:idx val="1"/>
          <c:order val="1"/>
          <c:tx>
            <c:strRef>
              <c:f>Main!$AA$2:$AA$3</c:f>
              <c:strCache>
                <c:ptCount val="2"/>
                <c:pt idx="0">
                  <c:v>Man Fitted</c:v>
                </c:pt>
                <c:pt idx="1">
                  <c:v>(cts/min)</c:v>
                </c:pt>
              </c:strCache>
            </c:strRef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Main!$Z$5:$Z$55</c:f>
              <c:numCache>
                <c:formatCode>0.00</c:formatCode>
                <c:ptCount val="51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0.83333333333333326</c:v>
                </c:pt>
                <c:pt idx="5">
                  <c:v>0.99999999999999989</c:v>
                </c:pt>
                <c:pt idx="6">
                  <c:v>1.1666666666666665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23">
                  <c:v>3.1666666666666656</c:v>
                </c:pt>
                <c:pt idx="24">
                  <c:v>3.3333333333333321</c:v>
                </c:pt>
                <c:pt idx="25">
                  <c:v>3.4999999999999987</c:v>
                </c:pt>
                <c:pt idx="26">
                  <c:v>3.6666666666666652</c:v>
                </c:pt>
                <c:pt idx="27">
                  <c:v>3.8333333333333317</c:v>
                </c:pt>
                <c:pt idx="28">
                  <c:v>3.9999999999999982</c:v>
                </c:pt>
                <c:pt idx="29">
                  <c:v>4.1666666666666652</c:v>
                </c:pt>
                <c:pt idx="30">
                  <c:v>4.3333333333333321</c:v>
                </c:pt>
                <c:pt idx="31">
                  <c:v>4.4999999999999991</c:v>
                </c:pt>
                <c:pt idx="32">
                  <c:v>4.6666666666666661</c:v>
                </c:pt>
                <c:pt idx="33">
                  <c:v>4.833333333333333</c:v>
                </c:pt>
                <c:pt idx="34">
                  <c:v>5</c:v>
                </c:pt>
                <c:pt idx="35">
                  <c:v>5.166666666666667</c:v>
                </c:pt>
                <c:pt idx="36">
                  <c:v>5.3333333333333339</c:v>
                </c:pt>
                <c:pt idx="37">
                  <c:v>5.5000000000000009</c:v>
                </c:pt>
                <c:pt idx="38">
                  <c:v>5.6666666666666679</c:v>
                </c:pt>
                <c:pt idx="39">
                  <c:v>5.8333333333333348</c:v>
                </c:pt>
                <c:pt idx="40">
                  <c:v>6.0000000000000018</c:v>
                </c:pt>
                <c:pt idx="41">
                  <c:v>6.1666666666666687</c:v>
                </c:pt>
                <c:pt idx="42">
                  <c:v>6.3333333333333357</c:v>
                </c:pt>
                <c:pt idx="43">
                  <c:v>6.5000000000000027</c:v>
                </c:pt>
                <c:pt idx="44">
                  <c:v>6.6666666666666696</c:v>
                </c:pt>
                <c:pt idx="45">
                  <c:v>6.8333333333333366</c:v>
                </c:pt>
                <c:pt idx="46">
                  <c:v>7.0000000000000036</c:v>
                </c:pt>
                <c:pt idx="47">
                  <c:v>7.1666666666666705</c:v>
                </c:pt>
                <c:pt idx="48">
                  <c:v>7.3333333333333375</c:v>
                </c:pt>
                <c:pt idx="49">
                  <c:v>7.5000000000000044</c:v>
                </c:pt>
                <c:pt idx="50">
                  <c:v>7.6666666666666714</c:v>
                </c:pt>
              </c:numCache>
            </c:numRef>
          </c:xVal>
          <c:yVal>
            <c:numRef>
              <c:f>Main!$AB$5:$AB$55</c:f>
              <c:numCache>
                <c:formatCode>0.0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C-A64B-8890-F565ECA5BB25}"/>
            </c:ext>
          </c:extLst>
        </c:ser>
        <c:ser>
          <c:idx val="2"/>
          <c:order val="2"/>
          <c:tx>
            <c:v>Uncertainty</c:v>
          </c:tx>
          <c:spPr>
            <a:ln w="127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Main!$T$4:$T$12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1C-A64B-8890-F565ECA5BB25}"/>
            </c:ext>
          </c:extLst>
        </c:ser>
        <c:ser>
          <c:idx val="3"/>
          <c:order val="3"/>
          <c:spPr>
            <a:ln w="127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Main!$U$4:$U$12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1C-A64B-8890-F565ECA5B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79936"/>
        <c:axId val="172681856"/>
      </c:scatterChart>
      <c:valAx>
        <c:axId val="17267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1856"/>
        <c:crosses val="autoZero"/>
        <c:crossBetween val="midCat"/>
      </c:valAx>
      <c:valAx>
        <c:axId val="172681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LN(Net Activity)</a:t>
                </a:r>
                <a:r>
                  <a:rPr lang="en-US" baseline="0"/>
                  <a:t> (Counts)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2679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Using the LN(Net</a:t>
            </a:r>
            <a:r>
              <a:rPr lang="en-US" baseline="0"/>
              <a:t> Activity)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Main!$X$2</c:f>
              <c:strCache>
                <c:ptCount val="1"/>
                <c:pt idx="0">
                  <c:v>LN(Activity)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7"/>
          </c:marker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Main!$Y$4:$Y$12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Main!$Y$4:$Y$12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Main!$X$4:$X$12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2-1648-8E82-246ED7A2E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70944"/>
        <c:axId val="173972864"/>
      </c:scatterChart>
      <c:valAx>
        <c:axId val="17397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72864"/>
        <c:crosses val="autoZero"/>
        <c:crossBetween val="midCat"/>
      </c:valAx>
      <c:valAx>
        <c:axId val="173972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500"/>
                </a:pPr>
                <a:r>
                  <a:rPr lang="en-US" sz="1050" b="1" i="0" baseline="0">
                    <a:effectLst/>
                  </a:rPr>
                  <a:t>LN(Net Activity) (Counts)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3970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Using the Net</a:t>
            </a:r>
            <a:r>
              <a:rPr lang="en-US" baseline="0"/>
              <a:t> Activity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Main!$X$2</c:f>
              <c:strCache>
                <c:ptCount val="1"/>
                <c:pt idx="0">
                  <c:v>LN(Activity)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7"/>
          </c:marker>
          <c:trendline>
            <c:trendlineType val="exp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Main!$C$13:$C$21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C4-5047-B0FD-C02CCCAF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89376"/>
        <c:axId val="174791296"/>
      </c:scatterChart>
      <c:valAx>
        <c:axId val="17478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91296"/>
        <c:crosses val="autoZero"/>
        <c:crossBetween val="midCat"/>
      </c:valAx>
      <c:valAx>
        <c:axId val="174791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500"/>
                </a:pPr>
                <a:r>
                  <a:rPr lang="en-US" sz="1050" b="1" i="0" baseline="0">
                    <a:effectLst/>
                  </a:rPr>
                  <a:t>Net Activity (Counts)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74789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       Activity vs. Time (linear scale)</a:t>
            </a:r>
          </a:p>
        </c:rich>
      </c:tx>
      <c:layout>
        <c:manualLayout>
          <c:xMode val="edge"/>
          <c:yMode val="edge"/>
          <c:x val="0.32186464181535052"/>
          <c:y val="1.95758787865091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9522752497225"/>
          <c:y val="0.13866231647634583"/>
          <c:w val="0.67480577136514985"/>
          <c:h val="0.69331158238172919"/>
        </c:manualLayout>
      </c:layout>
      <c:scatterChart>
        <c:scatterStyle val="smoothMarker"/>
        <c:varyColors val="0"/>
        <c:ser>
          <c:idx val="0"/>
          <c:order val="0"/>
          <c:tx>
            <c:v>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Main!$C$13:$C$21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9-7D44-9F67-C4FD7982089C}"/>
            </c:ext>
          </c:extLst>
        </c:ser>
        <c:ser>
          <c:idx val="1"/>
          <c:order val="1"/>
          <c:tx>
            <c:v>Fit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Main!$E$13:$E$21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69-7D44-9F67-C4FD79820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96544"/>
        <c:axId val="172398464"/>
      </c:scatterChart>
      <c:valAx>
        <c:axId val="17239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(minutes)</a:t>
                </a:r>
              </a:p>
            </c:rich>
          </c:tx>
          <c:layout>
            <c:manualLayout>
              <c:xMode val="edge"/>
              <c:yMode val="edge"/>
              <c:x val="0.3928967856195773"/>
              <c:y val="0.915171306059544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398464"/>
        <c:crosses val="autoZero"/>
        <c:crossBetween val="midCat"/>
        <c:majorUnit val="2"/>
        <c:minorUnit val="1"/>
      </c:valAx>
      <c:valAx>
        <c:axId val="172398464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Activity </a:t>
                </a: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(counts/minute)</a:t>
                </a:r>
              </a:p>
            </c:rich>
          </c:tx>
          <c:layout>
            <c:manualLayout>
              <c:xMode val="edge"/>
              <c:yMode val="edge"/>
              <c:x val="1.7758094181953149E-2"/>
              <c:y val="0.296900428791593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396544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903440479347427"/>
          <c:y val="0.43230019999774011"/>
          <c:w val="9.9889046849900631E-2"/>
          <c:h val="9.95106030303372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       Activity vs. Time (semi-log scale)</a:t>
            </a:r>
          </a:p>
        </c:rich>
      </c:tx>
      <c:layout>
        <c:manualLayout>
          <c:xMode val="edge"/>
          <c:yMode val="edge"/>
          <c:x val="0.31717596353087441"/>
          <c:y val="1.95758787865091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55637513171761"/>
          <c:y val="0.13866231647634583"/>
          <c:w val="0.68071654373024237"/>
          <c:h val="0.69331158238172919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Main!$D$13:$D$21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Main!$C$13:$C$21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E9-A345-9288-701AF88B4358}"/>
            </c:ext>
          </c:extLst>
        </c:ser>
        <c:ser>
          <c:idx val="1"/>
          <c:order val="1"/>
          <c:tx>
            <c:v>Fit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Main!$E$13:$E$21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E9-A345-9288-701AF88B4358}"/>
            </c:ext>
          </c:extLst>
        </c:ser>
        <c:ser>
          <c:idx val="2"/>
          <c:order val="2"/>
          <c:tx>
            <c:v>Fit +/-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Main!$R$4:$R$12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E9-A345-9288-701AF88B4358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Main!$A$13:$A$21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Main!$S$4:$S$12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E9-A345-9288-701AF88B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17248"/>
        <c:axId val="172536192"/>
      </c:scatterChart>
      <c:valAx>
        <c:axId val="1725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(minutes)</a:t>
                </a:r>
              </a:p>
            </c:rich>
          </c:tx>
          <c:layout>
            <c:manualLayout>
              <c:xMode val="edge"/>
              <c:yMode val="edge"/>
              <c:x val="0.39409907445779802"/>
              <c:y val="0.915171306059544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536192"/>
        <c:crosses val="autoZero"/>
        <c:crossBetween val="midCat"/>
        <c:majorUnit val="2"/>
        <c:minorUnit val="1"/>
      </c:valAx>
      <c:valAx>
        <c:axId val="172536192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Activity </a:t>
                </a: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(counts/minute)</a:t>
                </a:r>
              </a:p>
            </c:rich>
          </c:tx>
          <c:layout>
            <c:manualLayout>
              <c:xMode val="edge"/>
              <c:yMode val="edge"/>
              <c:x val="1.7913634479900537E-2"/>
              <c:y val="0.296900428791593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517248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86090620251415939"/>
          <c:y val="0.40619897121518572"/>
          <c:w val="0.11907268959801076"/>
          <c:h val="0.1484502999966102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68" workbookViewId="0"/>
  </sheetViews>
  <sheetProtection content="1" objects="1"/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8" workbookViewId="0"/>
  </sheetViews>
  <pageMargins left="0.5" right="0.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28</xdr:row>
      <xdr:rowOff>123825</xdr:rowOff>
    </xdr:from>
    <xdr:to>
      <xdr:col>14</xdr:col>
      <xdr:colOff>504825</xdr:colOff>
      <xdr:row>45</xdr:row>
      <xdr:rowOff>114300</xdr:rowOff>
    </xdr:to>
    <xdr:graphicFrame macro="">
      <xdr:nvGraphicFramePr>
        <xdr:cNvPr id="47111" name="Chart 1">
          <a:extLst>
            <a:ext uri="{FF2B5EF4-FFF2-40B4-BE49-F238E27FC236}">
              <a16:creationId xmlns:a16="http://schemas.microsoft.com/office/drawing/2014/main" id="{00000000-0008-0000-0100-000007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123825</xdr:rowOff>
    </xdr:from>
    <xdr:to>
      <xdr:col>6</xdr:col>
      <xdr:colOff>790575</xdr:colOff>
      <xdr:row>45</xdr:row>
      <xdr:rowOff>114300</xdr:rowOff>
    </xdr:to>
    <xdr:graphicFrame macro="">
      <xdr:nvGraphicFramePr>
        <xdr:cNvPr id="47112" name="Chart 2">
          <a:extLst>
            <a:ext uri="{FF2B5EF4-FFF2-40B4-BE49-F238E27FC236}">
              <a16:creationId xmlns:a16="http://schemas.microsoft.com/office/drawing/2014/main" id="{00000000-0008-0000-0100-000008B80000}"/>
            </a:ext>
            <a:ext uri="{147F2762-F138-4A5C-976F-8EAC2B608ADB}">
              <a16:predDERef xmlns:a16="http://schemas.microsoft.com/office/drawing/2014/main" pred="{00000000-0008-0000-0100-000007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58</xdr:row>
      <xdr:rowOff>123825</xdr:rowOff>
    </xdr:from>
    <xdr:to>
      <xdr:col>7</xdr:col>
      <xdr:colOff>0</xdr:colOff>
      <xdr:row>75</xdr:row>
      <xdr:rowOff>114300</xdr:rowOff>
    </xdr:to>
    <xdr:graphicFrame macro="">
      <xdr:nvGraphicFramePr>
        <xdr:cNvPr id="47113" name="Chart 3">
          <a:extLst>
            <a:ext uri="{FF2B5EF4-FFF2-40B4-BE49-F238E27FC236}">
              <a16:creationId xmlns:a16="http://schemas.microsoft.com/office/drawing/2014/main" id="{00000000-0008-0000-0100-000009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161925</xdr:colOff>
      <xdr:row>58</xdr:row>
      <xdr:rowOff>104775</xdr:rowOff>
    </xdr:from>
    <xdr:to>
      <xdr:col>14</xdr:col>
      <xdr:colOff>657225</xdr:colOff>
      <xdr:row>75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22</xdr:col>
      <xdr:colOff>76199</xdr:colOff>
      <xdr:row>27</xdr:row>
      <xdr:rowOff>61912</xdr:rowOff>
    </xdr:from>
    <xdr:ext cx="2085976" cy="728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0153649" y="4919662"/>
              <a:ext cx="2085976" cy="728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b="0" i="1">
                          <a:latin typeface="Cambria Math" panose="02040503050406030204" pitchFamily="18" charset="0"/>
                          <a:ea typeface="Cambria Math"/>
                        </a:rPr>
                      </m:ctrlPr>
                    </m:sSubSupPr>
                    <m:e>
                      <m:r>
                        <a:rPr lang="en-US" sz="1100" i="1">
                          <a:latin typeface="Cambria Math"/>
                          <a:ea typeface="Cambria Math"/>
                        </a:rPr>
                        <m:t>𝜎</m:t>
                      </m:r>
                    </m:e>
                    <m:sub>
                      <m:r>
                        <a:rPr lang="en-US" sz="1100" b="0" i="1">
                          <a:latin typeface="Cambria Math"/>
                          <a:ea typeface="Cambria Math"/>
                        </a:rPr>
                        <m:t>𝑠𝑙𝑜𝑝𝑒</m:t>
                      </m:r>
                    </m:sub>
                    <m:sup>
                      <m:r>
                        <a:rPr lang="en-US" sz="1100" b="0" i="1">
                          <a:latin typeface="Cambria Math"/>
                          <a:ea typeface="Cambria Math"/>
                        </a:rPr>
                        <m:t>2</m:t>
                      </m:r>
                    </m:sup>
                  </m:sSubSup>
                  <m:r>
                    <a:rPr lang="en-US" sz="1100" b="0" i="1">
                      <a:latin typeface="Cambria Math"/>
                      <a:ea typeface="Cambria Math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ea typeface="Cambria Math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/>
                          <a:ea typeface="Cambria Math"/>
                        </a:rPr>
                        <m:t>𝑁</m:t>
                      </m:r>
                      <m:r>
                        <a:rPr lang="en-US" sz="1100" b="0" i="1">
                          <a:latin typeface="Cambria Math"/>
                          <a:ea typeface="Cambria Math"/>
                        </a:rPr>
                        <m:t> </m:t>
                      </m:r>
                      <m:sSubSup>
                        <m:sSubSup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/>
                            </a:rPr>
                          </m:ctrlPr>
                        </m:sSubSupPr>
                        <m:e>
                          <m:r>
                            <a:rPr lang="en-US" sz="1100" b="0" i="1">
                              <a:latin typeface="Cambria Math"/>
                              <a:ea typeface="Cambria Math"/>
                            </a:rPr>
                            <m:t>𝜎</m:t>
                          </m:r>
                        </m:e>
                        <m:sub>
                          <m:r>
                            <a:rPr lang="en-US" sz="1100" b="0" i="1">
                              <a:latin typeface="Cambria Math"/>
                              <a:ea typeface="Cambria Math"/>
                            </a:rPr>
                            <m:t>𝑦</m:t>
                          </m:r>
                        </m:sub>
                        <m:sup>
                          <m:r>
                            <a:rPr lang="en-US" sz="1100" b="0" i="1">
                              <a:latin typeface="Cambria Math"/>
                              <a:ea typeface="Cambria Math"/>
                            </a:rPr>
                            <m:t>2</m:t>
                          </m:r>
                        </m:sup>
                      </m:sSubSup>
                    </m:num>
                    <m:den>
                      <m:r>
                        <a:rPr lang="en-US" sz="1100" b="0" i="1">
                          <a:latin typeface="Cambria Math"/>
                          <a:ea typeface="Cambria Math"/>
                        </a:rPr>
                        <m:t>∆</m:t>
                      </m:r>
                    </m:den>
                  </m:f>
                </m:oMath>
              </a14:m>
              <a:r>
                <a:rPr lang="en-US" sz="1100"/>
                <a:t>  (8.16)</a:t>
              </a:r>
            </a:p>
            <a:p>
              <a:endParaRPr lang="en-US" sz="1100"/>
            </a:p>
            <a:p>
              <a14:m>
                <m:oMath xmlns:m="http://schemas.openxmlformats.org/officeDocument/2006/math">
                  <m:r>
                    <a:rPr lang="en-US" sz="1100" i="1">
                      <a:latin typeface="Cambria Math"/>
                      <a:ea typeface="Cambria Math"/>
                    </a:rPr>
                    <m:t>∆</m:t>
                  </m:r>
                  <m:r>
                    <a:rPr lang="en-US" sz="1100" b="0" i="1">
                      <a:latin typeface="Cambria Math"/>
                      <a:ea typeface="Cambria Math"/>
                    </a:rPr>
                    <m:t>=</m:t>
                  </m:r>
                  <m:r>
                    <a:rPr lang="en-US" sz="1100" b="0" i="1">
                      <a:latin typeface="Cambria Math"/>
                      <a:ea typeface="Cambria Math"/>
                    </a:rPr>
                    <m:t>𝑁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  <a:ea typeface="Cambria Math"/>
                        </a:rPr>
                      </m:ctrlPr>
                    </m:dPr>
                    <m:e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sSubSup>
                            <m:sSubSup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  <m:sub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  <m:sup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bSup>
                        </m:e>
                      </m:nary>
                    </m:e>
                  </m:d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−</m:t>
                  </m:r>
                  <m:sSup>
                    <m:sSup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d>
                        <m:d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naryPr>
                            <m:sub/>
                            <m:sup/>
                            <m:e>
                              <m:sSub>
                                <m:sSubPr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/>
                                      <a:ea typeface="+mn-ea"/>
                                      <a:cs typeface="+mn-cs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e>
                      </m:d>
                    </m:e>
                    <m:sup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  (8.12)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0153649" y="4919662"/>
              <a:ext cx="2085976" cy="728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/>
                  <a:ea typeface="Cambria Math"/>
                </a:rPr>
                <a:t>𝜎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_</a:t>
              </a:r>
              <a:r>
                <a:rPr lang="en-US" sz="1100" b="0" i="0">
                  <a:latin typeface="Cambria Math"/>
                  <a:ea typeface="Cambria Math"/>
                </a:rPr>
                <a:t>𝑠𝑙𝑜𝑝𝑒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^</a:t>
              </a:r>
              <a:r>
                <a:rPr lang="en-US" sz="1100" b="0" i="0">
                  <a:latin typeface="Cambria Math"/>
                  <a:ea typeface="Cambria Math"/>
                </a:rPr>
                <a:t>2=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(</a:t>
              </a:r>
              <a:r>
                <a:rPr lang="en-US" sz="1100" b="0" i="0">
                  <a:latin typeface="Cambria Math"/>
                  <a:ea typeface="Cambria Math"/>
                </a:rPr>
                <a:t>𝑁 𝜎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_</a:t>
              </a:r>
              <a:r>
                <a:rPr lang="en-US" sz="1100" b="0" i="0">
                  <a:latin typeface="Cambria Math"/>
                  <a:ea typeface="Cambria Math"/>
                </a:rPr>
                <a:t>𝑦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^</a:t>
              </a:r>
              <a:r>
                <a:rPr lang="en-US" sz="1100" b="0" i="0">
                  <a:latin typeface="Cambria Math"/>
                  <a:ea typeface="Cambria Math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)/</a:t>
              </a:r>
              <a:r>
                <a:rPr lang="en-US" sz="1100" b="0" i="0">
                  <a:latin typeface="Cambria Math"/>
                  <a:ea typeface="Cambria Math"/>
                </a:rPr>
                <a:t>∆</a:t>
              </a:r>
              <a:r>
                <a:rPr lang="en-US" sz="1100"/>
                <a:t>  (8.16)</a:t>
              </a:r>
            </a:p>
            <a:p>
              <a:endParaRPr lang="en-US" sz="1100"/>
            </a:p>
            <a:p>
              <a:r>
                <a:rPr lang="en-US" sz="1100" i="0">
                  <a:latin typeface="Cambria Math"/>
                  <a:ea typeface="Cambria Math"/>
                </a:rPr>
                <a:t>∆</a:t>
              </a:r>
              <a:r>
                <a:rPr lang="en-US" sz="1100" b="0" i="0">
                  <a:latin typeface="Cambria Math"/>
                  <a:ea typeface="Cambria Math"/>
                </a:rPr>
                <a:t>=𝑁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/>
                <a:t>  (8.12)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6507" cy="58410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048750" cy="58410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B32" sqref="B32"/>
    </sheetView>
  </sheetViews>
  <sheetFormatPr defaultColWidth="8.85546875" defaultRowHeight="12.75" x14ac:dyDescent="0.2"/>
  <sheetData>
    <row r="1" spans="1:8" ht="18" x14ac:dyDescent="0.25">
      <c r="A1" s="1" t="s">
        <v>0</v>
      </c>
      <c r="B1" s="1"/>
    </row>
    <row r="2" spans="1:8" x14ac:dyDescent="0.2">
      <c r="B2" t="s">
        <v>1</v>
      </c>
    </row>
    <row r="4" spans="1:8" ht="15" x14ac:dyDescent="0.2">
      <c r="A4" s="28" t="s">
        <v>2</v>
      </c>
      <c r="B4" s="29"/>
      <c r="C4" s="30"/>
      <c r="D4" s="30"/>
      <c r="E4" s="30"/>
      <c r="F4" s="30"/>
    </row>
    <row r="5" spans="1:8" x14ac:dyDescent="0.2">
      <c r="A5" s="20"/>
    </row>
    <row r="6" spans="1:8" ht="15.75" x14ac:dyDescent="0.25">
      <c r="A6" s="3" t="s">
        <v>3</v>
      </c>
    </row>
    <row r="7" spans="1:8" x14ac:dyDescent="0.2">
      <c r="A7" s="20"/>
      <c r="B7" s="21" t="s">
        <v>4</v>
      </c>
      <c r="H7" s="21"/>
    </row>
    <row r="8" spans="1:8" x14ac:dyDescent="0.2">
      <c r="A8" s="20"/>
      <c r="B8" s="21" t="s">
        <v>5</v>
      </c>
    </row>
    <row r="9" spans="1:8" x14ac:dyDescent="0.2">
      <c r="A9" s="20"/>
      <c r="B9" s="21" t="s">
        <v>6</v>
      </c>
    </row>
    <row r="10" spans="1:8" x14ac:dyDescent="0.2">
      <c r="A10" s="20"/>
      <c r="B10" s="21" t="s">
        <v>7</v>
      </c>
    </row>
    <row r="11" spans="1:8" x14ac:dyDescent="0.2">
      <c r="A11" s="20"/>
    </row>
    <row r="12" spans="1:8" ht="15.75" x14ac:dyDescent="0.25">
      <c r="A12" s="3" t="s">
        <v>8</v>
      </c>
    </row>
    <row r="13" spans="1:8" x14ac:dyDescent="0.2">
      <c r="A13" s="20"/>
      <c r="B13" s="21" t="s">
        <v>9</v>
      </c>
    </row>
    <row r="14" spans="1:8" x14ac:dyDescent="0.2">
      <c r="A14" s="20"/>
      <c r="B14" s="21" t="s">
        <v>10</v>
      </c>
    </row>
    <row r="15" spans="1:8" x14ac:dyDescent="0.2">
      <c r="A15" s="20"/>
      <c r="B15" s="21" t="s">
        <v>11</v>
      </c>
    </row>
    <row r="16" spans="1:8" x14ac:dyDescent="0.2">
      <c r="A16" s="20"/>
      <c r="B16" s="21" t="s">
        <v>12</v>
      </c>
    </row>
    <row r="18" spans="1:3" ht="15.75" x14ac:dyDescent="0.25">
      <c r="A18" s="3" t="s">
        <v>13</v>
      </c>
    </row>
    <row r="19" spans="1:3" x14ac:dyDescent="0.2">
      <c r="A19" s="20"/>
      <c r="B19" s="21" t="s">
        <v>14</v>
      </c>
    </row>
    <row r="20" spans="1:3" x14ac:dyDescent="0.2">
      <c r="A20" s="20"/>
      <c r="B20" s="21" t="s">
        <v>15</v>
      </c>
      <c r="C20" s="21"/>
    </row>
    <row r="21" spans="1:3" x14ac:dyDescent="0.2">
      <c r="A21" s="20"/>
      <c r="B21" s="21"/>
      <c r="C21" s="21" t="s">
        <v>16</v>
      </c>
    </row>
    <row r="22" spans="1:3" x14ac:dyDescent="0.2">
      <c r="A22" s="20"/>
      <c r="B22" s="21" t="s">
        <v>17</v>
      </c>
    </row>
    <row r="23" spans="1:3" x14ac:dyDescent="0.2">
      <c r="A23" s="20"/>
      <c r="B23" s="21" t="s">
        <v>18</v>
      </c>
    </row>
    <row r="24" spans="1:3" x14ac:dyDescent="0.2">
      <c r="B24" s="2"/>
      <c r="C24" s="21" t="s">
        <v>19</v>
      </c>
    </row>
    <row r="25" spans="1:3" x14ac:dyDescent="0.2">
      <c r="A25" s="20"/>
      <c r="B25" s="2"/>
      <c r="C25" t="s">
        <v>20</v>
      </c>
    </row>
    <row r="26" spans="1:3" x14ac:dyDescent="0.2">
      <c r="A26" s="20"/>
      <c r="B26" s="21"/>
      <c r="C26" s="21" t="s">
        <v>21</v>
      </c>
    </row>
    <row r="27" spans="1:3" x14ac:dyDescent="0.2">
      <c r="B27" t="s">
        <v>22</v>
      </c>
    </row>
    <row r="28" spans="1:3" x14ac:dyDescent="0.2">
      <c r="B28" s="21" t="s">
        <v>23</v>
      </c>
    </row>
    <row r="30" spans="1:3" ht="15.75" x14ac:dyDescent="0.25">
      <c r="A30" s="3" t="s">
        <v>24</v>
      </c>
      <c r="B30" s="21"/>
    </row>
    <row r="31" spans="1:3" x14ac:dyDescent="0.2">
      <c r="A31" s="20"/>
      <c r="B31" s="21" t="s">
        <v>25</v>
      </c>
    </row>
    <row r="34" spans="1:1" ht="15.75" x14ac:dyDescent="0.25">
      <c r="A34" s="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1"/>
  <sheetViews>
    <sheetView tabSelected="1" topLeftCell="A35" zoomScale="70" zoomScaleNormal="70" workbookViewId="0">
      <selection activeCell="L2" sqref="L2:N2"/>
    </sheetView>
  </sheetViews>
  <sheetFormatPr defaultColWidth="8.85546875" defaultRowHeight="12.75" x14ac:dyDescent="0.2"/>
  <cols>
    <col min="1" max="1" width="12.42578125" customWidth="1"/>
    <col min="2" max="2" width="14.42578125" customWidth="1"/>
    <col min="3" max="3" width="14.7109375" customWidth="1"/>
    <col min="4" max="5" width="10.5703125" customWidth="1"/>
    <col min="6" max="6" width="2.5703125" customWidth="1"/>
    <col min="7" max="7" width="13.5703125" customWidth="1"/>
    <col min="8" max="8" width="6.5703125" customWidth="1"/>
    <col min="9" max="9" width="8.5703125" customWidth="1"/>
    <col min="11" max="11" width="9.140625" customWidth="1"/>
    <col min="15" max="16" width="10.42578125" customWidth="1"/>
    <col min="17" max="17" width="29.5703125" style="92" customWidth="1"/>
    <col min="18" max="18" width="10.42578125" customWidth="1"/>
  </cols>
  <sheetData>
    <row r="1" spans="1:29" ht="18" x14ac:dyDescent="0.25">
      <c r="A1" s="58" t="s">
        <v>26</v>
      </c>
      <c r="B1" s="59"/>
      <c r="C1" s="59"/>
      <c r="D1" s="33"/>
      <c r="E1" s="33"/>
      <c r="F1" s="60" t="s">
        <v>27</v>
      </c>
      <c r="G1" s="33" t="s">
        <v>28</v>
      </c>
      <c r="H1" s="33"/>
      <c r="I1" s="33"/>
      <c r="J1" s="33"/>
      <c r="K1" s="61" t="s">
        <v>29</v>
      </c>
      <c r="L1" s="33"/>
      <c r="M1" s="33"/>
      <c r="N1" s="33"/>
      <c r="O1" s="33"/>
      <c r="P1" s="34"/>
      <c r="R1" s="31" t="s">
        <v>30</v>
      </c>
      <c r="S1" s="32"/>
      <c r="T1" s="32"/>
      <c r="U1" s="32"/>
      <c r="V1" s="33"/>
      <c r="W1" s="33"/>
      <c r="X1" s="33"/>
      <c r="Y1" s="33"/>
      <c r="Z1" s="33"/>
      <c r="AA1" s="33"/>
      <c r="AB1" s="33"/>
      <c r="AC1" s="34"/>
    </row>
    <row r="2" spans="1:29" ht="15" x14ac:dyDescent="0.2">
      <c r="A2" s="62" t="s">
        <v>31</v>
      </c>
      <c r="C2" s="63"/>
      <c r="H2" s="44"/>
      <c r="K2" s="36">
        <v>1</v>
      </c>
      <c r="L2" s="123"/>
      <c r="M2" s="123"/>
      <c r="N2" s="123"/>
      <c r="P2" s="64"/>
      <c r="R2" s="35" t="s">
        <v>32</v>
      </c>
      <c r="S2" s="36"/>
      <c r="T2" s="37" t="s">
        <v>33</v>
      </c>
      <c r="U2" s="37" t="s">
        <v>33</v>
      </c>
      <c r="V2" t="s">
        <v>34</v>
      </c>
      <c r="W2" s="21" t="s">
        <v>35</v>
      </c>
      <c r="X2" s="38" t="s">
        <v>36</v>
      </c>
      <c r="Y2" s="38" t="s">
        <v>37</v>
      </c>
      <c r="Z2" s="21" t="s">
        <v>38</v>
      </c>
      <c r="AA2" s="39" t="s">
        <v>39</v>
      </c>
      <c r="AB2" s="39" t="s">
        <v>33</v>
      </c>
      <c r="AC2" s="40" t="s">
        <v>40</v>
      </c>
    </row>
    <row r="3" spans="1:29" ht="15" x14ac:dyDescent="0.2">
      <c r="A3" s="65" t="s">
        <v>2</v>
      </c>
      <c r="B3" s="29"/>
      <c r="C3" s="30"/>
      <c r="D3" s="30"/>
      <c r="E3" s="30"/>
      <c r="H3" s="44"/>
      <c r="K3" s="36">
        <v>2</v>
      </c>
      <c r="L3" s="123"/>
      <c r="M3" s="123"/>
      <c r="N3" s="123"/>
      <c r="P3" s="64"/>
      <c r="R3" s="41" t="s">
        <v>41</v>
      </c>
      <c r="S3" s="42" t="s">
        <v>42</v>
      </c>
      <c r="T3" s="43" t="s">
        <v>41</v>
      </c>
      <c r="U3" s="43" t="s">
        <v>42</v>
      </c>
      <c r="V3" s="44" t="s">
        <v>43</v>
      </c>
      <c r="W3" s="21" t="s">
        <v>44</v>
      </c>
      <c r="X3" s="45"/>
      <c r="Y3" s="45"/>
      <c r="Z3" s="21" t="s">
        <v>45</v>
      </c>
      <c r="AA3" s="39" t="s">
        <v>46</v>
      </c>
      <c r="AB3" s="39"/>
      <c r="AC3" s="40" t="s">
        <v>46</v>
      </c>
    </row>
    <row r="4" spans="1:29" x14ac:dyDescent="0.2">
      <c r="A4" s="111" t="s">
        <v>47</v>
      </c>
      <c r="H4" s="44"/>
      <c r="K4" s="36">
        <v>3</v>
      </c>
      <c r="L4" s="123"/>
      <c r="M4" s="123"/>
      <c r="N4" s="123"/>
      <c r="P4" s="64"/>
      <c r="R4" s="112" t="e">
        <f t="shared" ref="R4:R12" si="0">+$C$24*EXP(-0.693*$A13/($C$25+$C$26))</f>
        <v>#DIV/0!</v>
      </c>
      <c r="S4" s="113" t="e">
        <f t="shared" ref="S4:S12" si="1">+$C$24*EXP(-0.693*$A13/($C$25-$C$26))</f>
        <v>#DIV/0!</v>
      </c>
      <c r="T4" s="113" t="e">
        <f>LN(R4)</f>
        <v>#DIV/0!</v>
      </c>
      <c r="U4" s="113" t="e">
        <f>LN(S4)</f>
        <v>#DIV/0!</v>
      </c>
      <c r="V4" s="113" t="e">
        <f>((C13-E13)/D13)^2</f>
        <v>#DIV/0!</v>
      </c>
      <c r="W4" s="21">
        <f t="shared" ref="W4:W12" si="2">A13^2</f>
        <v>0</v>
      </c>
      <c r="X4" s="46" t="e">
        <f t="shared" ref="X4:X12" si="3">LN(C13)</f>
        <v>#DIV/0!</v>
      </c>
      <c r="Y4" s="46" t="e">
        <f t="shared" ref="Y4:Y12" si="4">LN(C13+D13)-X4</f>
        <v>#DIV/0!</v>
      </c>
      <c r="Z4">
        <f>A13</f>
        <v>0</v>
      </c>
      <c r="AA4" s="47" t="e">
        <f>+$C$24*EXP(-LN(2)*Z4/$C$25)</f>
        <v>#DIV/0!</v>
      </c>
      <c r="AB4" s="47" t="e">
        <f>LN(AA4)</f>
        <v>#DIV/0!</v>
      </c>
      <c r="AC4" s="48" t="e">
        <f>+$D$52*EXP(-LN(2)*Z4/$C$58)</f>
        <v>#DIV/0!</v>
      </c>
    </row>
    <row r="5" spans="1:29" x14ac:dyDescent="0.2">
      <c r="A5" s="66"/>
      <c r="B5" s="21"/>
      <c r="C5" s="21"/>
      <c r="G5" s="44"/>
      <c r="H5" s="44"/>
      <c r="K5" s="36">
        <v>4</v>
      </c>
      <c r="L5" s="125"/>
      <c r="M5" s="125"/>
      <c r="N5" s="125"/>
      <c r="P5" s="64"/>
      <c r="R5" s="112" t="e">
        <f t="shared" si="0"/>
        <v>#DIV/0!</v>
      </c>
      <c r="S5" s="113" t="e">
        <f t="shared" si="1"/>
        <v>#DIV/0!</v>
      </c>
      <c r="T5" s="113" t="e">
        <f t="shared" ref="T5:T12" si="5">LN(R5)</f>
        <v>#DIV/0!</v>
      </c>
      <c r="U5" s="113" t="e">
        <f t="shared" ref="U5:U12" si="6">LN(S5)</f>
        <v>#DIV/0!</v>
      </c>
      <c r="V5" s="113" t="e">
        <f>((C14-E14)/D14)^2</f>
        <v>#DIV/0!</v>
      </c>
      <c r="W5" s="21">
        <f t="shared" si="2"/>
        <v>1</v>
      </c>
      <c r="X5" s="46" t="e">
        <f t="shared" si="3"/>
        <v>#DIV/0!</v>
      </c>
      <c r="Y5" s="46" t="e">
        <f t="shared" si="4"/>
        <v>#DIV/0!</v>
      </c>
      <c r="Z5" s="22">
        <f>Z4+10/60</f>
        <v>0.16666666666666666</v>
      </c>
      <c r="AA5" s="47" t="e">
        <f t="shared" ref="AA5:AA22" si="7">+$C$24*EXP(-LN(2)*Z5/$C$25)</f>
        <v>#DIV/0!</v>
      </c>
      <c r="AB5" s="47" t="e">
        <f t="shared" ref="AB5:AB55" si="8">LN(AA5)</f>
        <v>#DIV/0!</v>
      </c>
      <c r="AC5" s="48" t="e">
        <f>+$D$52*EXP(-LN(2)*Z5/$C$58)</f>
        <v>#DIV/0!</v>
      </c>
    </row>
    <row r="6" spans="1:29" ht="15" x14ac:dyDescent="0.25">
      <c r="A6" s="99" t="s">
        <v>48</v>
      </c>
      <c r="B6" s="100"/>
      <c r="C6" s="100"/>
      <c r="D6" s="100"/>
      <c r="E6" s="101"/>
      <c r="G6" s="98" t="s">
        <v>49</v>
      </c>
      <c r="H6" s="94"/>
      <c r="I6" s="95"/>
      <c r="K6" s="36">
        <v>5</v>
      </c>
      <c r="L6" s="124"/>
      <c r="M6" s="124"/>
      <c r="N6" s="124"/>
      <c r="P6" s="64"/>
      <c r="R6" s="112" t="e">
        <f t="shared" si="0"/>
        <v>#DIV/0!</v>
      </c>
      <c r="S6" s="113" t="e">
        <f t="shared" si="1"/>
        <v>#DIV/0!</v>
      </c>
      <c r="T6" s="113" t="e">
        <f t="shared" si="5"/>
        <v>#DIV/0!</v>
      </c>
      <c r="U6" s="113" t="e">
        <f t="shared" si="6"/>
        <v>#DIV/0!</v>
      </c>
      <c r="V6" s="113" t="e">
        <f t="shared" ref="V6:V12" si="9">((C15-E15)/D15)^2</f>
        <v>#DIV/0!</v>
      </c>
      <c r="W6" s="21">
        <f t="shared" si="2"/>
        <v>4</v>
      </c>
      <c r="X6" s="46" t="e">
        <f t="shared" si="3"/>
        <v>#DIV/0!</v>
      </c>
      <c r="Y6" s="46" t="e">
        <f t="shared" si="4"/>
        <v>#DIV/0!</v>
      </c>
      <c r="Z6" s="22">
        <f t="shared" ref="Z6:Z46" si="10">Z5+10/60</f>
        <v>0.33333333333333331</v>
      </c>
      <c r="AA6" s="47" t="e">
        <f t="shared" si="7"/>
        <v>#DIV/0!</v>
      </c>
      <c r="AB6" s="47" t="e">
        <f t="shared" si="8"/>
        <v>#DIV/0!</v>
      </c>
      <c r="AC6" s="48" t="e">
        <f t="shared" ref="AC6:AC22" si="11">+$D$52*EXP(-LN(2)*Z6/$C$58)</f>
        <v>#DIV/0!</v>
      </c>
    </row>
    <row r="7" spans="1:29" ht="18.75" x14ac:dyDescent="0.25">
      <c r="A7" s="67" t="s">
        <v>50</v>
      </c>
      <c r="B7" s="15"/>
      <c r="C7" s="17"/>
      <c r="D7" s="17"/>
      <c r="E7" s="18"/>
      <c r="G7" s="6" t="s">
        <v>51</v>
      </c>
      <c r="H7" s="25"/>
      <c r="I7" s="4" t="s">
        <v>52</v>
      </c>
      <c r="P7" s="64"/>
      <c r="R7" s="112" t="e">
        <f t="shared" si="0"/>
        <v>#DIV/0!</v>
      </c>
      <c r="S7" s="113" t="e">
        <f t="shared" si="1"/>
        <v>#DIV/0!</v>
      </c>
      <c r="T7" s="113" t="e">
        <f t="shared" si="5"/>
        <v>#DIV/0!</v>
      </c>
      <c r="U7" s="113" t="e">
        <f t="shared" si="6"/>
        <v>#DIV/0!</v>
      </c>
      <c r="V7" s="113" t="e">
        <f t="shared" si="9"/>
        <v>#DIV/0!</v>
      </c>
      <c r="W7" s="21">
        <f t="shared" si="2"/>
        <v>9</v>
      </c>
      <c r="X7" s="46" t="e">
        <f t="shared" si="3"/>
        <v>#DIV/0!</v>
      </c>
      <c r="Y7" s="46" t="e">
        <f t="shared" si="4"/>
        <v>#DIV/0!</v>
      </c>
      <c r="Z7" s="22">
        <f t="shared" si="10"/>
        <v>0.5</v>
      </c>
      <c r="AA7" s="47" t="e">
        <f t="shared" si="7"/>
        <v>#DIV/0!</v>
      </c>
      <c r="AB7" s="47" t="e">
        <f t="shared" si="8"/>
        <v>#DIV/0!</v>
      </c>
      <c r="AC7" s="48" t="e">
        <f t="shared" si="11"/>
        <v>#DIV/0!</v>
      </c>
    </row>
    <row r="8" spans="1:29" ht="15" x14ac:dyDescent="0.2">
      <c r="A8" s="68"/>
      <c r="B8" s="10" t="s">
        <v>53</v>
      </c>
      <c r="C8" s="8"/>
      <c r="D8" s="8"/>
      <c r="E8" s="9"/>
      <c r="G8" s="6" t="s">
        <v>54</v>
      </c>
      <c r="H8" s="25"/>
      <c r="I8" s="4" t="s">
        <v>55</v>
      </c>
      <c r="P8" s="64"/>
      <c r="R8" s="112" t="e">
        <f t="shared" si="0"/>
        <v>#DIV/0!</v>
      </c>
      <c r="S8" s="113" t="e">
        <f t="shared" si="1"/>
        <v>#DIV/0!</v>
      </c>
      <c r="T8" s="113" t="e">
        <f t="shared" si="5"/>
        <v>#DIV/0!</v>
      </c>
      <c r="U8" s="113" t="e">
        <f t="shared" si="6"/>
        <v>#DIV/0!</v>
      </c>
      <c r="V8" s="113" t="e">
        <f t="shared" si="9"/>
        <v>#DIV/0!</v>
      </c>
      <c r="W8" s="21">
        <f t="shared" si="2"/>
        <v>16</v>
      </c>
      <c r="X8" s="46" t="e">
        <f t="shared" si="3"/>
        <v>#DIV/0!</v>
      </c>
      <c r="Y8" s="46" t="e">
        <f t="shared" si="4"/>
        <v>#DIV/0!</v>
      </c>
      <c r="Z8" s="22">
        <f t="shared" si="10"/>
        <v>0.66666666666666663</v>
      </c>
      <c r="AA8" s="47" t="e">
        <f t="shared" si="7"/>
        <v>#DIV/0!</v>
      </c>
      <c r="AB8" s="47" t="e">
        <f t="shared" si="8"/>
        <v>#DIV/0!</v>
      </c>
      <c r="AC8" s="48" t="e">
        <f t="shared" si="11"/>
        <v>#DIV/0!</v>
      </c>
    </row>
    <row r="9" spans="1:29" x14ac:dyDescent="0.2">
      <c r="A9" s="69"/>
      <c r="B9" s="24">
        <v>0.5</v>
      </c>
      <c r="C9" s="8" t="s">
        <v>56</v>
      </c>
      <c r="D9" s="8"/>
      <c r="E9" s="9"/>
      <c r="G9" s="7" t="s">
        <v>57</v>
      </c>
      <c r="H9" s="19" t="e">
        <f>+H7/H8</f>
        <v>#DIV/0!</v>
      </c>
      <c r="I9" s="5" t="s">
        <v>58</v>
      </c>
      <c r="P9" s="64"/>
      <c r="R9" s="112" t="e">
        <f t="shared" si="0"/>
        <v>#DIV/0!</v>
      </c>
      <c r="S9" s="113" t="e">
        <f t="shared" si="1"/>
        <v>#DIV/0!</v>
      </c>
      <c r="T9" s="113" t="e">
        <f t="shared" si="5"/>
        <v>#DIV/0!</v>
      </c>
      <c r="U9" s="113" t="e">
        <f t="shared" si="6"/>
        <v>#DIV/0!</v>
      </c>
      <c r="V9" s="113" t="e">
        <f t="shared" si="9"/>
        <v>#DIV/0!</v>
      </c>
      <c r="W9" s="21">
        <f t="shared" si="2"/>
        <v>25</v>
      </c>
      <c r="X9" s="46" t="e">
        <f t="shared" si="3"/>
        <v>#DIV/0!</v>
      </c>
      <c r="Y9" s="46" t="e">
        <f t="shared" si="4"/>
        <v>#DIV/0!</v>
      </c>
      <c r="Z9" s="22">
        <f t="shared" si="10"/>
        <v>0.83333333333333326</v>
      </c>
      <c r="AA9" s="47" t="e">
        <f t="shared" si="7"/>
        <v>#DIV/0!</v>
      </c>
      <c r="AB9" s="47" t="e">
        <f t="shared" si="8"/>
        <v>#DIV/0!</v>
      </c>
      <c r="AC9" s="48" t="e">
        <f t="shared" si="11"/>
        <v>#DIV/0!</v>
      </c>
    </row>
    <row r="10" spans="1:29" x14ac:dyDescent="0.2">
      <c r="A10" s="70" t="s">
        <v>38</v>
      </c>
      <c r="B10" s="14" t="s">
        <v>59</v>
      </c>
      <c r="C10" s="14" t="s">
        <v>60</v>
      </c>
      <c r="D10" s="14" t="s">
        <v>61</v>
      </c>
      <c r="E10" s="14" t="s">
        <v>62</v>
      </c>
      <c r="L10" s="44"/>
      <c r="M10" s="44"/>
      <c r="P10" s="64"/>
      <c r="R10" s="112" t="e">
        <f t="shared" si="0"/>
        <v>#DIV/0!</v>
      </c>
      <c r="S10" s="113" t="e">
        <f t="shared" si="1"/>
        <v>#DIV/0!</v>
      </c>
      <c r="T10" s="113" t="e">
        <f t="shared" si="5"/>
        <v>#DIV/0!</v>
      </c>
      <c r="U10" s="113" t="e">
        <f t="shared" si="6"/>
        <v>#DIV/0!</v>
      </c>
      <c r="V10" s="113" t="e">
        <f t="shared" si="9"/>
        <v>#DIV/0!</v>
      </c>
      <c r="W10" s="21">
        <f t="shared" si="2"/>
        <v>36</v>
      </c>
      <c r="X10" s="46" t="e">
        <f t="shared" si="3"/>
        <v>#DIV/0!</v>
      </c>
      <c r="Y10" s="46" t="e">
        <f t="shared" si="4"/>
        <v>#DIV/0!</v>
      </c>
      <c r="Z10" s="22">
        <f t="shared" si="10"/>
        <v>0.99999999999999989</v>
      </c>
      <c r="AA10" s="47" t="e">
        <f t="shared" si="7"/>
        <v>#DIV/0!</v>
      </c>
      <c r="AB10" s="47" t="e">
        <f t="shared" si="8"/>
        <v>#DIV/0!</v>
      </c>
      <c r="AC10" s="48" t="e">
        <f t="shared" si="11"/>
        <v>#DIV/0!</v>
      </c>
    </row>
    <row r="11" spans="1:29" x14ac:dyDescent="0.2">
      <c r="A11" s="71" t="s">
        <v>45</v>
      </c>
      <c r="B11" s="11" t="s">
        <v>63</v>
      </c>
      <c r="C11" s="11" t="s">
        <v>46</v>
      </c>
      <c r="D11" s="11" t="s">
        <v>46</v>
      </c>
      <c r="E11" s="11" t="s">
        <v>46</v>
      </c>
      <c r="P11" s="64"/>
      <c r="R11" s="112" t="e">
        <f t="shared" si="0"/>
        <v>#DIV/0!</v>
      </c>
      <c r="S11" s="113" t="e">
        <f t="shared" si="1"/>
        <v>#DIV/0!</v>
      </c>
      <c r="T11" s="113" t="e">
        <f t="shared" si="5"/>
        <v>#DIV/0!</v>
      </c>
      <c r="U11" s="113" t="e">
        <f t="shared" si="6"/>
        <v>#DIV/0!</v>
      </c>
      <c r="V11" s="113" t="e">
        <f t="shared" si="9"/>
        <v>#DIV/0!</v>
      </c>
      <c r="W11" s="21">
        <f t="shared" si="2"/>
        <v>49</v>
      </c>
      <c r="X11" s="46" t="e">
        <f t="shared" si="3"/>
        <v>#DIV/0!</v>
      </c>
      <c r="Y11" s="46" t="e">
        <f t="shared" si="4"/>
        <v>#DIV/0!</v>
      </c>
      <c r="Z11" s="22">
        <f t="shared" si="10"/>
        <v>1.1666666666666665</v>
      </c>
      <c r="AA11" s="47" t="e">
        <f t="shared" si="7"/>
        <v>#DIV/0!</v>
      </c>
      <c r="AB11" s="47" t="e">
        <f t="shared" si="8"/>
        <v>#DIV/0!</v>
      </c>
      <c r="AC11" s="48" t="e">
        <f t="shared" si="11"/>
        <v>#DIV/0!</v>
      </c>
    </row>
    <row r="12" spans="1:29" x14ac:dyDescent="0.2">
      <c r="A12" s="72"/>
      <c r="B12" s="93" t="s">
        <v>64</v>
      </c>
      <c r="C12" s="12"/>
      <c r="D12" s="13" t="s">
        <v>65</v>
      </c>
      <c r="E12" s="12"/>
      <c r="P12" s="64"/>
      <c r="R12" s="112" t="e">
        <f t="shared" si="0"/>
        <v>#DIV/0!</v>
      </c>
      <c r="S12" s="113" t="e">
        <f t="shared" si="1"/>
        <v>#DIV/0!</v>
      </c>
      <c r="T12" s="113" t="e">
        <f t="shared" si="5"/>
        <v>#DIV/0!</v>
      </c>
      <c r="U12" s="113" t="e">
        <f t="shared" si="6"/>
        <v>#DIV/0!</v>
      </c>
      <c r="V12" s="113" t="e">
        <f t="shared" si="9"/>
        <v>#DIV/0!</v>
      </c>
      <c r="W12" s="21">
        <f t="shared" si="2"/>
        <v>64</v>
      </c>
      <c r="X12" s="46" t="e">
        <f t="shared" si="3"/>
        <v>#DIV/0!</v>
      </c>
      <c r="Y12" s="46" t="e">
        <f t="shared" si="4"/>
        <v>#DIV/0!</v>
      </c>
      <c r="Z12" s="22">
        <f t="shared" si="10"/>
        <v>1.3333333333333333</v>
      </c>
      <c r="AA12" s="47" t="e">
        <f t="shared" si="7"/>
        <v>#DIV/0!</v>
      </c>
      <c r="AB12" s="47" t="e">
        <f t="shared" si="8"/>
        <v>#DIV/0!</v>
      </c>
      <c r="AC12" s="48" t="e">
        <f t="shared" si="11"/>
        <v>#DIV/0!</v>
      </c>
    </row>
    <row r="13" spans="1:29" x14ac:dyDescent="0.2">
      <c r="A13" s="73">
        <v>0</v>
      </c>
      <c r="B13" s="23"/>
      <c r="C13" s="16" t="e">
        <f>+B13/$B$9-$H$9</f>
        <v>#DIV/0!</v>
      </c>
      <c r="D13" s="16" t="e">
        <f>SQRT(B13)/$B$9+SQRT($H$7)/$H$8</f>
        <v>#DIV/0!</v>
      </c>
      <c r="E13" s="16" t="e">
        <f t="shared" ref="E13:E21" si="12">+$C$24*EXP(-LN(2)*A13/$C$25)</f>
        <v>#DIV/0!</v>
      </c>
      <c r="M13" s="74"/>
      <c r="P13" s="64"/>
      <c r="R13" s="114"/>
      <c r="S13" s="21"/>
      <c r="T13" s="21"/>
      <c r="U13" s="21"/>
      <c r="V13" s="21"/>
      <c r="W13" s="21"/>
      <c r="X13" s="21"/>
      <c r="Y13" s="21"/>
      <c r="Z13" s="22">
        <f>Z12+10/60</f>
        <v>1.5</v>
      </c>
      <c r="AA13" s="47" t="e">
        <f t="shared" si="7"/>
        <v>#DIV/0!</v>
      </c>
      <c r="AB13" s="47" t="e">
        <f t="shared" si="8"/>
        <v>#DIV/0!</v>
      </c>
      <c r="AC13" s="48" t="e">
        <f t="shared" si="11"/>
        <v>#DIV/0!</v>
      </c>
    </row>
    <row r="14" spans="1:29" x14ac:dyDescent="0.2">
      <c r="A14" s="73">
        <v>1</v>
      </c>
      <c r="B14" s="23"/>
      <c r="C14" s="16" t="e">
        <f>+B14/$B$9-$H$9</f>
        <v>#DIV/0!</v>
      </c>
      <c r="D14" s="16" t="e">
        <f t="shared" ref="D14:D21" si="13">SQRT(B14)/$B$9+SQRT($H$7)/$H$8</f>
        <v>#DIV/0!</v>
      </c>
      <c r="E14" s="16" t="e">
        <f t="shared" si="12"/>
        <v>#DIV/0!</v>
      </c>
      <c r="G14" s="21"/>
      <c r="I14" s="49"/>
      <c r="M14" s="74"/>
      <c r="P14" s="64"/>
      <c r="R14" s="114"/>
      <c r="S14" s="21"/>
      <c r="T14" s="21"/>
      <c r="U14" s="21"/>
      <c r="V14" s="21"/>
      <c r="W14" s="21"/>
      <c r="X14" s="21"/>
      <c r="Y14" s="21"/>
      <c r="Z14" s="22">
        <f t="shared" si="10"/>
        <v>1.6666666666666667</v>
      </c>
      <c r="AA14" s="47" t="e">
        <f t="shared" si="7"/>
        <v>#DIV/0!</v>
      </c>
      <c r="AB14" s="47" t="e">
        <f t="shared" si="8"/>
        <v>#DIV/0!</v>
      </c>
      <c r="AC14" s="48" t="e">
        <f t="shared" si="11"/>
        <v>#DIV/0!</v>
      </c>
    </row>
    <row r="15" spans="1:29" x14ac:dyDescent="0.2">
      <c r="A15" s="73">
        <v>2</v>
      </c>
      <c r="B15" s="23"/>
      <c r="C15" s="16" t="e">
        <f>+B15/$B$9-$H$9</f>
        <v>#DIV/0!</v>
      </c>
      <c r="D15" s="16" t="e">
        <f t="shared" si="13"/>
        <v>#DIV/0!</v>
      </c>
      <c r="E15" s="16" t="e">
        <f t="shared" si="12"/>
        <v>#DIV/0!</v>
      </c>
      <c r="G15" s="21"/>
      <c r="I15" s="49"/>
      <c r="M15" s="74"/>
      <c r="P15" s="64"/>
      <c r="R15" s="114"/>
      <c r="S15" s="21"/>
      <c r="T15" s="21"/>
      <c r="U15" s="49" t="s">
        <v>66</v>
      </c>
      <c r="V15" s="115" t="e">
        <f>SUM(V4:V12)</f>
        <v>#DIV/0!</v>
      </c>
      <c r="W15" s="113"/>
      <c r="X15" s="21"/>
      <c r="Y15" s="21"/>
      <c r="Z15" s="22">
        <f t="shared" si="10"/>
        <v>1.8333333333333335</v>
      </c>
      <c r="AA15" s="47" t="e">
        <f t="shared" si="7"/>
        <v>#DIV/0!</v>
      </c>
      <c r="AB15" s="47" t="e">
        <f t="shared" si="8"/>
        <v>#DIV/0!</v>
      </c>
      <c r="AC15" s="48" t="e">
        <f t="shared" si="11"/>
        <v>#DIV/0!</v>
      </c>
    </row>
    <row r="16" spans="1:29" x14ac:dyDescent="0.2">
      <c r="A16" s="73">
        <v>3</v>
      </c>
      <c r="B16" s="23"/>
      <c r="C16" s="16" t="e">
        <f t="shared" ref="C16:C21" si="14">+B16/$B$9-$H$9</f>
        <v>#DIV/0!</v>
      </c>
      <c r="D16" s="16" t="e">
        <f t="shared" si="13"/>
        <v>#DIV/0!</v>
      </c>
      <c r="E16" s="16" t="e">
        <f t="shared" si="12"/>
        <v>#DIV/0!</v>
      </c>
      <c r="G16" s="21"/>
      <c r="I16" s="49"/>
      <c r="M16" s="74"/>
      <c r="P16" s="64"/>
      <c r="R16" s="114"/>
      <c r="S16" s="21"/>
      <c r="T16" s="21"/>
      <c r="U16" s="49" t="s">
        <v>67</v>
      </c>
      <c r="V16" s="21">
        <f>COUNT(B13:B21)</f>
        <v>0</v>
      </c>
      <c r="W16" s="21"/>
      <c r="X16" s="21"/>
      <c r="Y16" s="21"/>
      <c r="Z16" s="22">
        <f t="shared" si="10"/>
        <v>2</v>
      </c>
      <c r="AA16" s="47" t="e">
        <f t="shared" si="7"/>
        <v>#DIV/0!</v>
      </c>
      <c r="AB16" s="47" t="e">
        <f t="shared" si="8"/>
        <v>#DIV/0!</v>
      </c>
      <c r="AC16" s="48" t="e">
        <f t="shared" si="11"/>
        <v>#DIV/0!</v>
      </c>
    </row>
    <row r="17" spans="1:29" x14ac:dyDescent="0.2">
      <c r="A17" s="73">
        <v>4</v>
      </c>
      <c r="B17" s="23"/>
      <c r="C17" s="16" t="e">
        <f t="shared" si="14"/>
        <v>#DIV/0!</v>
      </c>
      <c r="D17" s="16" t="e">
        <f t="shared" si="13"/>
        <v>#DIV/0!</v>
      </c>
      <c r="E17" s="16" t="e">
        <f t="shared" si="12"/>
        <v>#DIV/0!</v>
      </c>
      <c r="M17" s="74"/>
      <c r="P17" s="64"/>
      <c r="R17" s="114"/>
      <c r="S17" s="21"/>
      <c r="T17" s="21"/>
      <c r="U17" s="21" t="s">
        <v>68</v>
      </c>
      <c r="V17">
        <f>V16-2</f>
        <v>-2</v>
      </c>
      <c r="Z17" s="22">
        <f t="shared" si="10"/>
        <v>2.1666666666666665</v>
      </c>
      <c r="AA17" s="47" t="e">
        <f t="shared" si="7"/>
        <v>#DIV/0!</v>
      </c>
      <c r="AB17" s="47" t="e">
        <f t="shared" si="8"/>
        <v>#DIV/0!</v>
      </c>
      <c r="AC17" s="48" t="e">
        <f t="shared" si="11"/>
        <v>#DIV/0!</v>
      </c>
    </row>
    <row r="18" spans="1:29" x14ac:dyDescent="0.2">
      <c r="A18" s="73">
        <v>5</v>
      </c>
      <c r="B18" s="23"/>
      <c r="C18" s="16" t="e">
        <f t="shared" si="14"/>
        <v>#DIV/0!</v>
      </c>
      <c r="D18" s="16" t="e">
        <f t="shared" si="13"/>
        <v>#DIV/0!</v>
      </c>
      <c r="E18" s="16" t="e">
        <f t="shared" si="12"/>
        <v>#DIV/0!</v>
      </c>
      <c r="M18" s="74"/>
      <c r="P18" s="64"/>
      <c r="R18" s="114"/>
      <c r="S18" s="21"/>
      <c r="T18" s="21"/>
      <c r="Z18" s="22">
        <f t="shared" si="10"/>
        <v>2.333333333333333</v>
      </c>
      <c r="AA18" s="47" t="e">
        <f t="shared" si="7"/>
        <v>#DIV/0!</v>
      </c>
      <c r="AB18" s="47" t="e">
        <f t="shared" si="8"/>
        <v>#DIV/0!</v>
      </c>
      <c r="AC18" s="48" t="e">
        <f t="shared" si="11"/>
        <v>#DIV/0!</v>
      </c>
    </row>
    <row r="19" spans="1:29" x14ac:dyDescent="0.2">
      <c r="A19" s="73">
        <v>6</v>
      </c>
      <c r="B19" s="23"/>
      <c r="C19" s="16" t="e">
        <f t="shared" si="14"/>
        <v>#DIV/0!</v>
      </c>
      <c r="D19" s="16" t="e">
        <f t="shared" si="13"/>
        <v>#DIV/0!</v>
      </c>
      <c r="E19" s="16" t="e">
        <f t="shared" si="12"/>
        <v>#DIV/0!</v>
      </c>
      <c r="K19" s="21"/>
      <c r="L19" s="75"/>
      <c r="M19" s="74"/>
      <c r="P19" s="64"/>
      <c r="R19" s="114"/>
      <c r="S19" s="21"/>
      <c r="T19" s="21"/>
      <c r="Z19" s="22">
        <f t="shared" si="10"/>
        <v>2.4999999999999996</v>
      </c>
      <c r="AA19" s="47" t="e">
        <f t="shared" si="7"/>
        <v>#DIV/0!</v>
      </c>
      <c r="AB19" s="47" t="e">
        <f t="shared" si="8"/>
        <v>#DIV/0!</v>
      </c>
      <c r="AC19" s="48" t="e">
        <f t="shared" si="11"/>
        <v>#DIV/0!</v>
      </c>
    </row>
    <row r="20" spans="1:29" x14ac:dyDescent="0.2">
      <c r="A20" s="73">
        <v>7</v>
      </c>
      <c r="B20" s="23"/>
      <c r="C20" s="16" t="e">
        <f t="shared" si="14"/>
        <v>#DIV/0!</v>
      </c>
      <c r="D20" s="16" t="e">
        <f t="shared" si="13"/>
        <v>#DIV/0!</v>
      </c>
      <c r="E20" s="16" t="e">
        <f t="shared" si="12"/>
        <v>#DIV/0!</v>
      </c>
      <c r="M20" s="74"/>
      <c r="P20" s="64"/>
      <c r="R20" s="114"/>
      <c r="S20" s="21"/>
      <c r="T20" s="21"/>
      <c r="Z20" s="22">
        <f t="shared" si="10"/>
        <v>2.6666666666666661</v>
      </c>
      <c r="AA20" s="47" t="e">
        <f t="shared" si="7"/>
        <v>#DIV/0!</v>
      </c>
      <c r="AB20" s="47" t="e">
        <f t="shared" si="8"/>
        <v>#DIV/0!</v>
      </c>
      <c r="AC20" s="48" t="e">
        <f t="shared" si="11"/>
        <v>#DIV/0!</v>
      </c>
    </row>
    <row r="21" spans="1:29" x14ac:dyDescent="0.2">
      <c r="A21" s="73">
        <v>8</v>
      </c>
      <c r="B21" s="23"/>
      <c r="C21" s="16" t="e">
        <f t="shared" si="14"/>
        <v>#DIV/0!</v>
      </c>
      <c r="D21" s="16" t="e">
        <f t="shared" si="13"/>
        <v>#DIV/0!</v>
      </c>
      <c r="E21" s="16" t="e">
        <f t="shared" si="12"/>
        <v>#DIV/0!</v>
      </c>
      <c r="M21" s="74"/>
      <c r="P21" s="64"/>
      <c r="R21" s="114"/>
      <c r="S21" s="21"/>
      <c r="T21" s="21"/>
      <c r="V21" s="50" t="s">
        <v>69</v>
      </c>
      <c r="W21" s="51" t="e">
        <f>V16*V15</f>
        <v>#DIV/0!</v>
      </c>
      <c r="X21" s="52" t="s">
        <v>70</v>
      </c>
      <c r="Y21" s="53"/>
      <c r="Z21" s="22">
        <f t="shared" si="10"/>
        <v>2.8333333333333326</v>
      </c>
      <c r="AA21" s="47" t="e">
        <f t="shared" si="7"/>
        <v>#DIV/0!</v>
      </c>
      <c r="AB21" s="47" t="e">
        <f t="shared" si="8"/>
        <v>#DIV/0!</v>
      </c>
      <c r="AC21" s="48" t="e">
        <f t="shared" si="11"/>
        <v>#DIV/0!</v>
      </c>
    </row>
    <row r="22" spans="1:29" x14ac:dyDescent="0.2">
      <c r="A22" s="66"/>
      <c r="L22" s="21"/>
      <c r="N22" s="21"/>
      <c r="O22" s="21"/>
      <c r="P22" s="64"/>
      <c r="R22" s="114"/>
      <c r="S22" s="21"/>
      <c r="T22" s="21"/>
      <c r="V22" s="54" t="s">
        <v>71</v>
      </c>
      <c r="W22" s="53">
        <f>V16*SUM(W4:W12)-SUM(A13:A21)^2</f>
        <v>-1296</v>
      </c>
      <c r="X22" s="52" t="s">
        <v>72</v>
      </c>
      <c r="Y22" s="53"/>
      <c r="Z22" s="22">
        <f>Z21+10/60</f>
        <v>2.9999999999999991</v>
      </c>
      <c r="AA22" s="47" t="e">
        <f t="shared" si="7"/>
        <v>#DIV/0!</v>
      </c>
      <c r="AB22" s="47" t="e">
        <f t="shared" si="8"/>
        <v>#DIV/0!</v>
      </c>
      <c r="AC22" s="48" t="e">
        <f t="shared" si="11"/>
        <v>#DIV/0!</v>
      </c>
    </row>
    <row r="23" spans="1:29" ht="15.75" x14ac:dyDescent="0.25">
      <c r="A23" s="97" t="s">
        <v>73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5"/>
      <c r="P23" s="64"/>
      <c r="R23" s="114"/>
      <c r="S23" s="21"/>
      <c r="T23" s="21"/>
      <c r="V23" s="54"/>
      <c r="W23" s="53"/>
      <c r="X23" s="52"/>
      <c r="Y23" s="53"/>
      <c r="Z23" s="22"/>
      <c r="AA23" s="47"/>
      <c r="AB23" s="47"/>
      <c r="AC23" s="48"/>
    </row>
    <row r="24" spans="1:29" x14ac:dyDescent="0.2">
      <c r="A24" s="103"/>
      <c r="B24" s="103" t="s">
        <v>74</v>
      </c>
      <c r="C24" s="105" t="e">
        <f>C13</f>
        <v>#DIV/0!</v>
      </c>
      <c r="D24" s="106" t="s">
        <v>58</v>
      </c>
      <c r="E24" s="77"/>
      <c r="F24" s="77"/>
      <c r="G24" s="102"/>
      <c r="H24" s="77"/>
      <c r="I24" s="77"/>
      <c r="J24" s="77"/>
      <c r="K24" s="77"/>
      <c r="L24" s="77"/>
      <c r="M24" s="77"/>
      <c r="N24" s="77"/>
      <c r="O24" s="39"/>
      <c r="P24" s="64"/>
      <c r="R24" s="114"/>
      <c r="S24" s="21"/>
      <c r="T24" s="21"/>
      <c r="V24" s="54"/>
      <c r="W24" s="53"/>
      <c r="X24" s="52"/>
      <c r="Y24" s="53"/>
      <c r="Z24" s="22"/>
      <c r="AA24" s="47"/>
      <c r="AB24" s="47"/>
      <c r="AC24" s="48"/>
    </row>
    <row r="25" spans="1:29" x14ac:dyDescent="0.2">
      <c r="A25" s="103"/>
      <c r="B25" s="103" t="s">
        <v>75</v>
      </c>
      <c r="C25" s="26"/>
      <c r="D25" s="107" t="s">
        <v>55</v>
      </c>
      <c r="E25" s="77"/>
      <c r="F25" s="77"/>
      <c r="G25" s="102"/>
      <c r="H25" s="77"/>
      <c r="I25" s="77"/>
      <c r="J25" s="77"/>
      <c r="K25" s="77"/>
      <c r="L25" s="77"/>
      <c r="M25" s="77"/>
      <c r="N25" s="77"/>
      <c r="O25" s="39"/>
      <c r="P25" s="64"/>
      <c r="R25" s="114"/>
      <c r="S25" s="21"/>
      <c r="T25" s="21"/>
      <c r="V25" s="54"/>
      <c r="W25" s="53"/>
      <c r="X25" s="52"/>
      <c r="Y25" s="53"/>
      <c r="Z25" s="22"/>
      <c r="AA25" s="47"/>
      <c r="AB25" s="47"/>
      <c r="AC25" s="48"/>
    </row>
    <row r="26" spans="1:29" x14ac:dyDescent="0.2">
      <c r="A26" s="104"/>
      <c r="B26" s="104" t="s">
        <v>76</v>
      </c>
      <c r="C26" s="25"/>
      <c r="D26" s="106" t="s">
        <v>55</v>
      </c>
      <c r="E26" s="77"/>
      <c r="F26" s="77"/>
      <c r="G26" s="102"/>
      <c r="H26" s="77"/>
      <c r="I26" s="77"/>
      <c r="J26" s="77"/>
      <c r="K26" s="77"/>
      <c r="L26" s="77"/>
      <c r="M26" s="77"/>
      <c r="N26" s="77"/>
      <c r="O26" s="39"/>
      <c r="P26" s="64"/>
      <c r="R26" s="114"/>
      <c r="S26" s="21"/>
      <c r="T26" s="21"/>
      <c r="V26" s="54"/>
      <c r="W26" s="53"/>
      <c r="X26" s="52"/>
      <c r="Y26" s="53"/>
      <c r="Z26" s="22"/>
      <c r="AA26" s="47"/>
      <c r="AB26" s="47"/>
      <c r="AC26" s="48"/>
    </row>
    <row r="27" spans="1:29" x14ac:dyDescent="0.2">
      <c r="A27" s="108"/>
      <c r="B27" s="103" t="s">
        <v>77</v>
      </c>
      <c r="C27" s="109" t="e">
        <f>V15/(V17)</f>
        <v>#DIV/0!</v>
      </c>
      <c r="D27" s="110" t="s">
        <v>78</v>
      </c>
      <c r="E27" s="77"/>
      <c r="F27" s="77"/>
      <c r="G27" s="102"/>
      <c r="H27" s="77"/>
      <c r="I27" s="77"/>
      <c r="J27" s="77"/>
      <c r="K27" s="77"/>
      <c r="L27" s="77"/>
      <c r="M27" s="77"/>
      <c r="N27" s="77"/>
      <c r="O27" s="39"/>
      <c r="P27" s="64"/>
      <c r="R27" s="114"/>
      <c r="S27" s="21"/>
      <c r="T27" s="21"/>
      <c r="V27" s="54"/>
      <c r="W27" s="53"/>
      <c r="X27" s="52"/>
      <c r="Y27" s="53"/>
      <c r="Z27" s="22"/>
      <c r="AA27" s="47"/>
      <c r="AB27" s="47"/>
      <c r="AC27" s="48"/>
    </row>
    <row r="28" spans="1:29" x14ac:dyDescent="0.2">
      <c r="A28" s="76"/>
      <c r="B28" s="77"/>
      <c r="C28" s="77"/>
      <c r="D28" s="77"/>
      <c r="E28" s="77"/>
      <c r="F28" s="77"/>
      <c r="G28" s="102"/>
      <c r="H28" s="77"/>
      <c r="I28" s="77"/>
      <c r="J28" s="77"/>
      <c r="K28" s="77"/>
      <c r="L28" s="77"/>
      <c r="M28" s="77"/>
      <c r="N28" s="77"/>
      <c r="O28" s="39"/>
      <c r="P28" s="64"/>
      <c r="R28" s="114"/>
      <c r="S28" s="21"/>
      <c r="T28" s="21"/>
      <c r="V28" s="53"/>
      <c r="W28" s="53"/>
      <c r="X28" s="53"/>
      <c r="Y28" s="53"/>
      <c r="Z28" s="22">
        <f>Z22+10/60</f>
        <v>3.1666666666666656</v>
      </c>
      <c r="AA28" s="47" t="e">
        <f t="shared" ref="AA28:AA55" si="15">+$C$24*EXP(-LN(2)*Z28/$C$25)</f>
        <v>#DIV/0!</v>
      </c>
      <c r="AB28" s="47" t="e">
        <f t="shared" si="8"/>
        <v>#DIV/0!</v>
      </c>
      <c r="AC28" s="48" t="e">
        <f t="shared" ref="AC28:AC55" si="16">+$D$52*EXP(-LN(2)*Z28/$C$58)</f>
        <v>#DIV/0!</v>
      </c>
    </row>
    <row r="29" spans="1:29" x14ac:dyDescent="0.2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64"/>
      <c r="R29" s="114"/>
      <c r="S29" s="21"/>
      <c r="T29" s="21"/>
      <c r="V29" s="53"/>
      <c r="W29" s="53"/>
      <c r="X29" s="53"/>
      <c r="Y29" s="53"/>
      <c r="Z29" s="22">
        <f t="shared" si="10"/>
        <v>3.3333333333333321</v>
      </c>
      <c r="AA29" s="47" t="e">
        <f t="shared" si="15"/>
        <v>#DIV/0!</v>
      </c>
      <c r="AB29" s="47" t="e">
        <f t="shared" si="8"/>
        <v>#DIV/0!</v>
      </c>
      <c r="AC29" s="48" t="e">
        <f t="shared" si="16"/>
        <v>#DIV/0!</v>
      </c>
    </row>
    <row r="30" spans="1:2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80"/>
      <c r="L30" s="79"/>
      <c r="M30" s="79"/>
      <c r="N30" s="79"/>
      <c r="O30" s="79"/>
      <c r="P30" s="64"/>
      <c r="R30" s="114"/>
      <c r="S30" s="21"/>
      <c r="T30" s="21"/>
      <c r="V30" s="53"/>
      <c r="W30" s="53"/>
      <c r="X30" s="53"/>
      <c r="Y30" s="53"/>
      <c r="Z30" s="22">
        <f t="shared" si="10"/>
        <v>3.4999999999999987</v>
      </c>
      <c r="AA30" s="47" t="e">
        <f t="shared" si="15"/>
        <v>#DIV/0!</v>
      </c>
      <c r="AB30" s="47" t="e">
        <f t="shared" si="8"/>
        <v>#DIV/0!</v>
      </c>
      <c r="AC30" s="48" t="e">
        <f t="shared" si="16"/>
        <v>#DIV/0!</v>
      </c>
    </row>
    <row r="31" spans="1:2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81"/>
      <c r="L31" s="79"/>
      <c r="M31" s="79"/>
      <c r="N31" s="79"/>
      <c r="O31" s="79"/>
      <c r="P31" s="64"/>
      <c r="R31" s="114"/>
      <c r="S31" s="21"/>
      <c r="T31" s="21"/>
      <c r="V31" s="53"/>
      <c r="W31" s="53"/>
      <c r="X31" s="53"/>
      <c r="Y31" s="53"/>
      <c r="Z31" s="22">
        <f t="shared" si="10"/>
        <v>3.6666666666666652</v>
      </c>
      <c r="AA31" s="47" t="e">
        <f t="shared" si="15"/>
        <v>#DIV/0!</v>
      </c>
      <c r="AB31" s="47" t="e">
        <f t="shared" si="8"/>
        <v>#DIV/0!</v>
      </c>
      <c r="AC31" s="48" t="e">
        <f t="shared" si="16"/>
        <v>#DIV/0!</v>
      </c>
    </row>
    <row r="32" spans="1:2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64"/>
      <c r="R32" s="114"/>
      <c r="S32" s="21"/>
      <c r="T32" s="21"/>
      <c r="V32" s="53"/>
      <c r="W32" s="53"/>
      <c r="X32" s="53"/>
      <c r="Y32" s="53"/>
      <c r="Z32" s="22">
        <f t="shared" si="10"/>
        <v>3.8333333333333317</v>
      </c>
      <c r="AA32" s="47" t="e">
        <f t="shared" si="15"/>
        <v>#DIV/0!</v>
      </c>
      <c r="AB32" s="47" t="e">
        <f t="shared" si="8"/>
        <v>#DIV/0!</v>
      </c>
      <c r="AC32" s="48" t="e">
        <f t="shared" si="16"/>
        <v>#DIV/0!</v>
      </c>
    </row>
    <row r="33" spans="1:2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64"/>
      <c r="R33" s="114"/>
      <c r="S33" s="21"/>
      <c r="T33" s="21"/>
      <c r="V33" s="53"/>
      <c r="W33" s="53"/>
      <c r="X33" s="53"/>
      <c r="Y33" s="53"/>
      <c r="Z33" s="22">
        <f t="shared" si="10"/>
        <v>3.9999999999999982</v>
      </c>
      <c r="AA33" s="47" t="e">
        <f t="shared" si="15"/>
        <v>#DIV/0!</v>
      </c>
      <c r="AB33" s="47" t="e">
        <f t="shared" si="8"/>
        <v>#DIV/0!</v>
      </c>
      <c r="AC33" s="48" t="e">
        <f t="shared" si="16"/>
        <v>#DIV/0!</v>
      </c>
    </row>
    <row r="34" spans="1:2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64"/>
      <c r="R34" s="114"/>
      <c r="S34" s="21"/>
      <c r="T34" s="21"/>
      <c r="V34" s="53"/>
      <c r="W34" s="52" t="s">
        <v>79</v>
      </c>
      <c r="X34" s="53" t="e">
        <f>V16*W21^2/W22</f>
        <v>#DIV/0!</v>
      </c>
      <c r="Y34" s="52" t="s">
        <v>58</v>
      </c>
      <c r="Z34" s="22">
        <f t="shared" si="10"/>
        <v>4.1666666666666652</v>
      </c>
      <c r="AA34" s="47" t="e">
        <f t="shared" si="15"/>
        <v>#DIV/0!</v>
      </c>
      <c r="AB34" s="47" t="e">
        <f t="shared" si="8"/>
        <v>#DIV/0!</v>
      </c>
      <c r="AC34" s="48" t="e">
        <f t="shared" si="16"/>
        <v>#DIV/0!</v>
      </c>
    </row>
    <row r="35" spans="1:29" x14ac:dyDescent="0.2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64"/>
      <c r="R35" s="114"/>
      <c r="S35" s="21"/>
      <c r="T35" s="21"/>
      <c r="V35" s="53"/>
      <c r="W35" s="52" t="s">
        <v>80</v>
      </c>
      <c r="X35" s="53" t="e">
        <f>LN(2)/C57^2*X34</f>
        <v>#DIV/0!</v>
      </c>
      <c r="Y35" s="52" t="s">
        <v>81</v>
      </c>
      <c r="Z35" s="22">
        <f t="shared" si="10"/>
        <v>4.3333333333333321</v>
      </c>
      <c r="AA35" s="47" t="e">
        <f t="shared" si="15"/>
        <v>#DIV/0!</v>
      </c>
      <c r="AB35" s="47" t="e">
        <f t="shared" si="8"/>
        <v>#DIV/0!</v>
      </c>
      <c r="AC35" s="48" t="e">
        <f t="shared" si="16"/>
        <v>#DIV/0!</v>
      </c>
    </row>
    <row r="36" spans="1:29" x14ac:dyDescent="0.2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64"/>
      <c r="R36" s="114"/>
      <c r="S36" s="21"/>
      <c r="T36" s="21"/>
      <c r="Z36" s="22">
        <f t="shared" si="10"/>
        <v>4.4999999999999991</v>
      </c>
      <c r="AA36" s="47" t="e">
        <f t="shared" si="15"/>
        <v>#DIV/0!</v>
      </c>
      <c r="AB36" s="47" t="e">
        <f t="shared" si="8"/>
        <v>#DIV/0!</v>
      </c>
      <c r="AC36" s="48" t="e">
        <f t="shared" si="16"/>
        <v>#DIV/0!</v>
      </c>
    </row>
    <row r="37" spans="1:29" x14ac:dyDescent="0.2">
      <c r="A37" s="78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64"/>
      <c r="R37" s="114"/>
      <c r="S37" s="21"/>
      <c r="T37" s="21"/>
      <c r="Z37" s="22">
        <f t="shared" si="10"/>
        <v>4.6666666666666661</v>
      </c>
      <c r="AA37" s="47" t="e">
        <f t="shared" si="15"/>
        <v>#DIV/0!</v>
      </c>
      <c r="AB37" s="47" t="e">
        <f t="shared" si="8"/>
        <v>#DIV/0!</v>
      </c>
      <c r="AC37" s="48" t="e">
        <f t="shared" si="16"/>
        <v>#DIV/0!</v>
      </c>
    </row>
    <row r="38" spans="1:2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64"/>
      <c r="R38" s="114"/>
      <c r="S38" s="21"/>
      <c r="T38" s="21"/>
      <c r="Z38" s="22">
        <f t="shared" si="10"/>
        <v>4.833333333333333</v>
      </c>
      <c r="AA38" s="47" t="e">
        <f t="shared" si="15"/>
        <v>#DIV/0!</v>
      </c>
      <c r="AB38" s="47" t="e">
        <f t="shared" si="8"/>
        <v>#DIV/0!</v>
      </c>
      <c r="AC38" s="48" t="e">
        <f t="shared" si="16"/>
        <v>#DIV/0!</v>
      </c>
    </row>
    <row r="39" spans="1:29" x14ac:dyDescent="0.2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64"/>
      <c r="R39" s="114"/>
      <c r="S39" s="21"/>
      <c r="T39" s="21"/>
      <c r="Z39" s="22">
        <f t="shared" si="10"/>
        <v>5</v>
      </c>
      <c r="AA39" s="47" t="e">
        <f t="shared" si="15"/>
        <v>#DIV/0!</v>
      </c>
      <c r="AB39" s="47" t="e">
        <f t="shared" si="8"/>
        <v>#DIV/0!</v>
      </c>
      <c r="AC39" s="48" t="e">
        <f t="shared" si="16"/>
        <v>#DIV/0!</v>
      </c>
    </row>
    <row r="40" spans="1:29" x14ac:dyDescent="0.2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64"/>
      <c r="R40" s="114"/>
      <c r="S40" s="21"/>
      <c r="T40" s="21"/>
      <c r="Z40" s="22">
        <f t="shared" si="10"/>
        <v>5.166666666666667</v>
      </c>
      <c r="AA40" s="47" t="e">
        <f t="shared" si="15"/>
        <v>#DIV/0!</v>
      </c>
      <c r="AB40" s="47" t="e">
        <f t="shared" si="8"/>
        <v>#DIV/0!</v>
      </c>
      <c r="AC40" s="48" t="e">
        <f t="shared" si="16"/>
        <v>#DIV/0!</v>
      </c>
    </row>
    <row r="41" spans="1:29" x14ac:dyDescent="0.2">
      <c r="A41" s="78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64"/>
      <c r="R41" s="114"/>
      <c r="S41" s="21"/>
      <c r="T41" s="21"/>
      <c r="Z41" s="22">
        <f t="shared" si="10"/>
        <v>5.3333333333333339</v>
      </c>
      <c r="AA41" s="47" t="e">
        <f t="shared" si="15"/>
        <v>#DIV/0!</v>
      </c>
      <c r="AB41" s="47" t="e">
        <f t="shared" si="8"/>
        <v>#DIV/0!</v>
      </c>
      <c r="AC41" s="48" t="e">
        <f t="shared" si="16"/>
        <v>#DIV/0!</v>
      </c>
    </row>
    <row r="42" spans="1:2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64"/>
      <c r="R42" s="114"/>
      <c r="S42" s="21"/>
      <c r="T42" s="21"/>
      <c r="Z42" s="22">
        <f t="shared" si="10"/>
        <v>5.5000000000000009</v>
      </c>
      <c r="AA42" s="47" t="e">
        <f t="shared" si="15"/>
        <v>#DIV/0!</v>
      </c>
      <c r="AB42" s="47" t="e">
        <f t="shared" si="8"/>
        <v>#DIV/0!</v>
      </c>
      <c r="AC42" s="48" t="e">
        <f t="shared" si="16"/>
        <v>#DIV/0!</v>
      </c>
    </row>
    <row r="43" spans="1:29" x14ac:dyDescent="0.2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64"/>
      <c r="R43" s="114"/>
      <c r="S43" s="21"/>
      <c r="T43" s="21"/>
      <c r="Z43" s="22">
        <f t="shared" si="10"/>
        <v>5.6666666666666679</v>
      </c>
      <c r="AA43" s="47" t="e">
        <f t="shared" si="15"/>
        <v>#DIV/0!</v>
      </c>
      <c r="AB43" s="47" t="e">
        <f t="shared" si="8"/>
        <v>#DIV/0!</v>
      </c>
      <c r="AC43" s="48" t="e">
        <f t="shared" si="16"/>
        <v>#DIV/0!</v>
      </c>
    </row>
    <row r="44" spans="1:29" x14ac:dyDescent="0.2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64"/>
      <c r="R44" s="114"/>
      <c r="S44" s="21"/>
      <c r="T44" s="21"/>
      <c r="Z44" s="22">
        <f t="shared" si="10"/>
        <v>5.8333333333333348</v>
      </c>
      <c r="AA44" s="47" t="e">
        <f t="shared" si="15"/>
        <v>#DIV/0!</v>
      </c>
      <c r="AB44" s="47" t="e">
        <f t="shared" si="8"/>
        <v>#DIV/0!</v>
      </c>
      <c r="AC44" s="48" t="e">
        <f t="shared" si="16"/>
        <v>#DIV/0!</v>
      </c>
    </row>
    <row r="45" spans="1:29" x14ac:dyDescent="0.2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64"/>
      <c r="R45" s="114"/>
      <c r="S45" s="21"/>
      <c r="T45" s="21"/>
      <c r="Z45" s="22">
        <f t="shared" si="10"/>
        <v>6.0000000000000018</v>
      </c>
      <c r="AA45" s="47" t="e">
        <f t="shared" si="15"/>
        <v>#DIV/0!</v>
      </c>
      <c r="AB45" s="47" t="e">
        <f t="shared" si="8"/>
        <v>#DIV/0!</v>
      </c>
      <c r="AC45" s="48" t="e">
        <f t="shared" si="16"/>
        <v>#DIV/0!</v>
      </c>
    </row>
    <row r="46" spans="1:29" x14ac:dyDescent="0.2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64"/>
      <c r="R46" s="114"/>
      <c r="S46" s="21"/>
      <c r="T46" s="21"/>
      <c r="Z46" s="22">
        <f t="shared" si="10"/>
        <v>6.1666666666666687</v>
      </c>
      <c r="AA46" s="47" t="e">
        <f t="shared" si="15"/>
        <v>#DIV/0!</v>
      </c>
      <c r="AB46" s="47" t="e">
        <f t="shared" si="8"/>
        <v>#DIV/0!</v>
      </c>
      <c r="AC46" s="48" t="e">
        <f t="shared" si="16"/>
        <v>#DIV/0!</v>
      </c>
    </row>
    <row r="47" spans="1:29" x14ac:dyDescent="0.2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64"/>
      <c r="R47" s="114"/>
      <c r="S47" s="21"/>
      <c r="T47" s="21"/>
      <c r="Z47" s="22">
        <f>Z46+10/60</f>
        <v>6.3333333333333357</v>
      </c>
      <c r="AA47" s="47" t="e">
        <f t="shared" si="15"/>
        <v>#DIV/0!</v>
      </c>
      <c r="AB47" s="47" t="e">
        <f t="shared" si="8"/>
        <v>#DIV/0!</v>
      </c>
      <c r="AC47" s="48" t="e">
        <f t="shared" si="16"/>
        <v>#DIV/0!</v>
      </c>
    </row>
    <row r="48" spans="1:29" x14ac:dyDescent="0.2">
      <c r="A48" s="66"/>
      <c r="P48" s="64"/>
      <c r="R48" s="114"/>
      <c r="S48" s="21"/>
      <c r="T48" s="21"/>
      <c r="Z48" s="22">
        <f t="shared" ref="Z48:Z55" si="17">Z47+10/60</f>
        <v>6.5000000000000027</v>
      </c>
      <c r="AA48" s="47" t="e">
        <f t="shared" si="15"/>
        <v>#DIV/0!</v>
      </c>
      <c r="AB48" s="47" t="e">
        <f t="shared" si="8"/>
        <v>#DIV/0!</v>
      </c>
      <c r="AC48" s="48" t="e">
        <f t="shared" si="16"/>
        <v>#DIV/0!</v>
      </c>
    </row>
    <row r="49" spans="1:29" ht="18" customHeight="1" x14ac:dyDescent="0.25">
      <c r="A49" s="96" t="s">
        <v>82</v>
      </c>
      <c r="B49" s="100"/>
      <c r="C49" s="100"/>
      <c r="D49" s="100"/>
      <c r="E49" s="100"/>
      <c r="F49" s="94"/>
      <c r="G49" s="94"/>
      <c r="H49" s="94"/>
      <c r="I49" s="94"/>
      <c r="J49" s="94"/>
      <c r="K49" s="94"/>
      <c r="L49" s="94"/>
      <c r="M49" s="94"/>
      <c r="N49" s="94"/>
      <c r="O49" s="95"/>
      <c r="P49" s="64"/>
      <c r="R49" s="114"/>
      <c r="S49" s="21"/>
      <c r="T49" s="21"/>
      <c r="Z49" s="22">
        <f t="shared" si="17"/>
        <v>6.6666666666666696</v>
      </c>
      <c r="AA49" s="47" t="e">
        <f t="shared" si="15"/>
        <v>#DIV/0!</v>
      </c>
      <c r="AB49" s="47" t="e">
        <f t="shared" si="8"/>
        <v>#DIV/0!</v>
      </c>
      <c r="AC49" s="48" t="e">
        <f t="shared" si="16"/>
        <v>#DIV/0!</v>
      </c>
    </row>
    <row r="50" spans="1:29" x14ac:dyDescent="0.2">
      <c r="A50" s="120" t="s">
        <v>83</v>
      </c>
      <c r="B50" s="121"/>
      <c r="C50" s="121"/>
      <c r="D50" s="121"/>
      <c r="E50" s="121"/>
      <c r="F50" s="121"/>
      <c r="G50" s="121"/>
      <c r="H50" s="122" t="s">
        <v>84</v>
      </c>
      <c r="I50" s="122"/>
      <c r="J50" s="122"/>
      <c r="K50" s="122"/>
      <c r="L50" s="122"/>
      <c r="M50" s="122"/>
      <c r="N50" s="122"/>
      <c r="O50" s="122"/>
      <c r="P50" s="64"/>
      <c r="R50" s="114"/>
      <c r="S50" s="21"/>
      <c r="T50" s="21"/>
      <c r="Z50" s="22">
        <f t="shared" si="17"/>
        <v>6.8333333333333366</v>
      </c>
      <c r="AA50" s="47" t="e">
        <f t="shared" si="15"/>
        <v>#DIV/0!</v>
      </c>
      <c r="AB50" s="47" t="e">
        <f t="shared" si="8"/>
        <v>#DIV/0!</v>
      </c>
      <c r="AC50" s="48" t="e">
        <f t="shared" si="16"/>
        <v>#DIV/0!</v>
      </c>
    </row>
    <row r="51" spans="1:29" x14ac:dyDescent="0.2">
      <c r="A51" s="82" t="s">
        <v>85</v>
      </c>
      <c r="B51" s="27"/>
      <c r="C51" s="83" t="s">
        <v>86</v>
      </c>
      <c r="D51" s="45"/>
      <c r="E51" s="45"/>
      <c r="F51" s="45"/>
      <c r="G51" s="45"/>
      <c r="H51" s="84"/>
      <c r="I51" s="84"/>
      <c r="J51" s="84"/>
      <c r="K51" s="84"/>
      <c r="L51" s="84"/>
      <c r="M51" s="84"/>
      <c r="N51" s="84"/>
      <c r="O51" s="84"/>
      <c r="P51" s="64"/>
      <c r="R51" s="114"/>
      <c r="S51" s="21"/>
      <c r="T51" s="21"/>
      <c r="Z51" s="22">
        <f t="shared" si="17"/>
        <v>7.0000000000000036</v>
      </c>
      <c r="AA51" s="47" t="e">
        <f t="shared" si="15"/>
        <v>#DIV/0!</v>
      </c>
      <c r="AB51" s="47" t="e">
        <f t="shared" si="8"/>
        <v>#DIV/0!</v>
      </c>
      <c r="AC51" s="48" t="e">
        <f t="shared" si="16"/>
        <v>#DIV/0!</v>
      </c>
    </row>
    <row r="52" spans="1:29" x14ac:dyDescent="0.2">
      <c r="A52" s="82" t="s">
        <v>87</v>
      </c>
      <c r="B52" s="27"/>
      <c r="C52" s="38" t="s">
        <v>88</v>
      </c>
      <c r="D52" s="85">
        <f>EXP(B52)</f>
        <v>1</v>
      </c>
      <c r="E52" s="38" t="s">
        <v>52</v>
      </c>
      <c r="F52" s="45"/>
      <c r="G52" s="45"/>
      <c r="H52" s="84"/>
      <c r="I52" s="84"/>
      <c r="J52" s="84"/>
      <c r="K52" s="84"/>
      <c r="L52" s="84"/>
      <c r="M52" s="84"/>
      <c r="N52" s="84"/>
      <c r="O52" s="84"/>
      <c r="P52" s="64"/>
      <c r="R52" s="114"/>
      <c r="S52" s="21"/>
      <c r="T52" s="21"/>
      <c r="Z52" s="22">
        <f t="shared" si="17"/>
        <v>7.1666666666666705</v>
      </c>
      <c r="AA52" s="47" t="e">
        <f t="shared" si="15"/>
        <v>#DIV/0!</v>
      </c>
      <c r="AB52" s="47" t="e">
        <f t="shared" si="8"/>
        <v>#DIV/0!</v>
      </c>
      <c r="AC52" s="48" t="e">
        <f t="shared" si="16"/>
        <v>#DIV/0!</v>
      </c>
    </row>
    <row r="53" spans="1:29" ht="13.5" x14ac:dyDescent="0.2">
      <c r="A53" s="82" t="s">
        <v>89</v>
      </c>
      <c r="B53" s="27"/>
      <c r="C53" s="45"/>
      <c r="D53" s="45"/>
      <c r="E53" s="45"/>
      <c r="F53" s="45"/>
      <c r="G53" s="45"/>
      <c r="H53" s="84"/>
      <c r="I53" s="84"/>
      <c r="J53" s="84"/>
      <c r="K53" s="84"/>
      <c r="L53" s="84"/>
      <c r="M53" s="84"/>
      <c r="N53" s="84"/>
      <c r="O53" s="84"/>
      <c r="P53" s="64"/>
      <c r="R53" s="114"/>
      <c r="S53" s="21"/>
      <c r="T53" s="21"/>
      <c r="Z53" s="22">
        <f t="shared" si="17"/>
        <v>7.3333333333333375</v>
      </c>
      <c r="AA53" s="47" t="e">
        <f t="shared" si="15"/>
        <v>#DIV/0!</v>
      </c>
      <c r="AB53" s="47" t="e">
        <f t="shared" si="8"/>
        <v>#DIV/0!</v>
      </c>
      <c r="AC53" s="48" t="e">
        <f t="shared" si="16"/>
        <v>#DIV/0!</v>
      </c>
    </row>
    <row r="54" spans="1:29" x14ac:dyDescent="0.2">
      <c r="A54" s="86"/>
      <c r="B54" s="45"/>
      <c r="C54" s="45"/>
      <c r="D54" s="45"/>
      <c r="E54" s="45"/>
      <c r="F54" s="45"/>
      <c r="G54" s="45"/>
      <c r="H54" s="84"/>
      <c r="I54" s="84"/>
      <c r="J54" s="84"/>
      <c r="K54" s="84"/>
      <c r="L54" s="84"/>
      <c r="M54" s="84"/>
      <c r="N54" s="84"/>
      <c r="O54" s="84"/>
      <c r="P54" s="64"/>
      <c r="R54" s="114"/>
      <c r="S54" s="21"/>
      <c r="T54" s="21"/>
      <c r="Z54" s="22">
        <f t="shared" si="17"/>
        <v>7.5000000000000044</v>
      </c>
      <c r="AA54" s="47" t="e">
        <f t="shared" si="15"/>
        <v>#DIV/0!</v>
      </c>
      <c r="AB54" s="47" t="e">
        <f t="shared" si="8"/>
        <v>#DIV/0!</v>
      </c>
      <c r="AC54" s="48" t="e">
        <f t="shared" si="16"/>
        <v>#DIV/0!</v>
      </c>
    </row>
    <row r="55" spans="1:29" ht="13.5" thickBot="1" x14ac:dyDescent="0.25">
      <c r="A55" s="86"/>
      <c r="B55" s="45"/>
      <c r="C55" s="87" t="s">
        <v>90</v>
      </c>
      <c r="D55" s="46" t="e">
        <f>SQRT((1-B53)/(V16-2))</f>
        <v>#NUM!</v>
      </c>
      <c r="E55" s="38" t="s">
        <v>91</v>
      </c>
      <c r="F55" s="45"/>
      <c r="G55" s="38" t="s">
        <v>92</v>
      </c>
      <c r="H55" s="84"/>
      <c r="I55" s="84"/>
      <c r="J55" s="84"/>
      <c r="K55" s="84"/>
      <c r="L55" s="84"/>
      <c r="M55" s="84"/>
      <c r="N55" s="84"/>
      <c r="O55" s="84"/>
      <c r="P55" s="64"/>
      <c r="R55" s="116"/>
      <c r="S55" s="117"/>
      <c r="T55" s="117"/>
      <c r="U55" s="55"/>
      <c r="V55" s="55"/>
      <c r="W55" s="55"/>
      <c r="X55" s="55"/>
      <c r="Y55" s="55"/>
      <c r="Z55" s="22">
        <f t="shared" si="17"/>
        <v>7.6666666666666714</v>
      </c>
      <c r="AA55" s="56" t="e">
        <f t="shared" si="15"/>
        <v>#DIV/0!</v>
      </c>
      <c r="AB55" s="56" t="e">
        <f t="shared" si="8"/>
        <v>#DIV/0!</v>
      </c>
      <c r="AC55" s="57" t="e">
        <f t="shared" si="16"/>
        <v>#DIV/0!</v>
      </c>
    </row>
    <row r="56" spans="1:29" x14ac:dyDescent="0.2">
      <c r="A56" s="86"/>
      <c r="B56" s="45"/>
      <c r="C56" s="45"/>
      <c r="D56" s="45"/>
      <c r="E56" s="45"/>
      <c r="F56" s="45"/>
      <c r="G56" s="45"/>
      <c r="H56" s="84"/>
      <c r="I56" s="84"/>
      <c r="J56" s="84"/>
      <c r="K56" s="84"/>
      <c r="L56" s="84"/>
      <c r="M56" s="84"/>
      <c r="N56" s="84"/>
      <c r="O56" s="84"/>
      <c r="P56" s="64"/>
    </row>
    <row r="57" spans="1:29" x14ac:dyDescent="0.2">
      <c r="A57" s="86"/>
      <c r="B57" s="87" t="s">
        <v>93</v>
      </c>
      <c r="C57" s="46">
        <f>-B51</f>
        <v>0</v>
      </c>
      <c r="D57" s="38" t="s">
        <v>94</v>
      </c>
      <c r="E57" s="46" t="e">
        <f>D55</f>
        <v>#NUM!</v>
      </c>
      <c r="F57" s="38" t="s">
        <v>86</v>
      </c>
      <c r="G57" s="45"/>
      <c r="H57" s="84"/>
      <c r="I57" s="84"/>
      <c r="J57" s="84"/>
      <c r="K57" s="84"/>
      <c r="L57" s="84"/>
      <c r="M57" s="84"/>
      <c r="N57" s="84"/>
      <c r="O57" s="84"/>
      <c r="P57" s="64"/>
    </row>
    <row r="58" spans="1:29" x14ac:dyDescent="0.2">
      <c r="A58" s="86"/>
      <c r="B58" s="87" t="s">
        <v>95</v>
      </c>
      <c r="C58" s="46" t="e">
        <f>-LN(2)/B51</f>
        <v>#DIV/0!</v>
      </c>
      <c r="D58" s="88" t="s">
        <v>96</v>
      </c>
      <c r="E58" s="89" t="e">
        <f>LN(2)/C57^2*E57</f>
        <v>#DIV/0!</v>
      </c>
      <c r="F58" s="38" t="s">
        <v>81</v>
      </c>
      <c r="G58" s="45"/>
      <c r="H58" s="90"/>
      <c r="I58" s="84"/>
      <c r="J58" s="84"/>
      <c r="K58" s="84"/>
      <c r="L58" s="84"/>
      <c r="M58" s="84"/>
      <c r="N58" s="84"/>
      <c r="O58" s="84"/>
      <c r="P58" s="64"/>
    </row>
    <row r="59" spans="1:29" x14ac:dyDescent="0.2">
      <c r="A59" s="86"/>
      <c r="B59" s="45"/>
      <c r="C59" s="45"/>
      <c r="D59" s="45"/>
      <c r="E59" s="45"/>
      <c r="F59" s="45"/>
      <c r="G59" s="45"/>
      <c r="H59" s="84"/>
      <c r="I59" s="84"/>
      <c r="J59" s="84"/>
      <c r="K59" s="84"/>
      <c r="L59" s="84"/>
      <c r="M59" s="84"/>
      <c r="N59" s="84"/>
      <c r="O59" s="84"/>
      <c r="P59" s="64"/>
    </row>
    <row r="60" spans="1:29" x14ac:dyDescent="0.2">
      <c r="A60" s="86"/>
      <c r="B60" s="45"/>
      <c r="C60" s="45"/>
      <c r="D60" s="45"/>
      <c r="E60" s="45"/>
      <c r="F60" s="45"/>
      <c r="G60" s="45"/>
      <c r="H60" s="84"/>
      <c r="I60" s="84"/>
      <c r="J60" s="84"/>
      <c r="K60" s="84"/>
      <c r="L60" s="84"/>
      <c r="M60" s="84"/>
      <c r="N60" s="84"/>
      <c r="O60" s="84"/>
      <c r="P60" s="64"/>
    </row>
    <row r="61" spans="1:29" x14ac:dyDescent="0.2">
      <c r="A61" s="86"/>
      <c r="B61" s="45"/>
      <c r="C61" s="45"/>
      <c r="D61" s="45"/>
      <c r="E61" s="45"/>
      <c r="F61" s="45"/>
      <c r="G61" s="45"/>
      <c r="H61" s="84"/>
      <c r="I61" s="84"/>
      <c r="J61" s="84"/>
      <c r="K61" s="84"/>
      <c r="L61" s="84"/>
      <c r="M61" s="84"/>
      <c r="N61" s="84"/>
      <c r="O61" s="84"/>
      <c r="P61" s="64"/>
    </row>
    <row r="62" spans="1:29" x14ac:dyDescent="0.2">
      <c r="A62" s="86"/>
      <c r="B62" s="45"/>
      <c r="C62" s="45"/>
      <c r="D62" s="45"/>
      <c r="E62" s="45"/>
      <c r="F62" s="45"/>
      <c r="G62" s="45"/>
      <c r="H62" s="84"/>
      <c r="I62" s="84"/>
      <c r="J62" s="84"/>
      <c r="K62" s="84"/>
      <c r="L62" s="84"/>
      <c r="M62" s="84"/>
      <c r="N62" s="84"/>
      <c r="O62" s="84"/>
      <c r="P62" s="64"/>
    </row>
    <row r="63" spans="1:29" x14ac:dyDescent="0.2">
      <c r="A63" s="86"/>
      <c r="B63" s="45"/>
      <c r="C63" s="45"/>
      <c r="D63" s="45"/>
      <c r="E63" s="45"/>
      <c r="F63" s="45"/>
      <c r="G63" s="45"/>
      <c r="H63" s="84"/>
      <c r="I63" s="84"/>
      <c r="J63" s="84"/>
      <c r="K63" s="84"/>
      <c r="L63" s="84"/>
      <c r="M63" s="84"/>
      <c r="N63" s="84"/>
      <c r="O63" s="84"/>
      <c r="P63" s="64"/>
    </row>
    <row r="64" spans="1:29" x14ac:dyDescent="0.2">
      <c r="A64" s="86"/>
      <c r="B64" s="45"/>
      <c r="C64" s="45"/>
      <c r="D64" s="45"/>
      <c r="E64" s="45"/>
      <c r="F64" s="45"/>
      <c r="G64" s="45"/>
      <c r="H64" s="84"/>
      <c r="I64" s="84"/>
      <c r="J64" s="84"/>
      <c r="K64" s="84"/>
      <c r="L64" s="84"/>
      <c r="M64" s="84"/>
      <c r="N64" s="84"/>
      <c r="O64" s="84"/>
      <c r="P64" s="64"/>
    </row>
    <row r="65" spans="1:24" x14ac:dyDescent="0.2">
      <c r="A65" s="86"/>
      <c r="B65" s="45"/>
      <c r="C65" s="45"/>
      <c r="D65" s="45"/>
      <c r="E65" s="45"/>
      <c r="F65" s="45"/>
      <c r="G65" s="45"/>
      <c r="H65" s="84"/>
      <c r="I65" s="84"/>
      <c r="J65" s="84"/>
      <c r="K65" s="84"/>
      <c r="L65" s="84"/>
      <c r="M65" s="84"/>
      <c r="N65" s="84"/>
      <c r="O65" s="84"/>
      <c r="P65" s="118"/>
      <c r="R65" s="21"/>
      <c r="X65" s="22"/>
    </row>
    <row r="66" spans="1:24" x14ac:dyDescent="0.2">
      <c r="A66" s="86"/>
      <c r="B66" s="45"/>
      <c r="C66" s="45"/>
      <c r="D66" s="45"/>
      <c r="E66" s="45"/>
      <c r="F66" s="45"/>
      <c r="G66" s="45"/>
      <c r="H66" s="84"/>
      <c r="I66" s="84"/>
      <c r="J66" s="84"/>
      <c r="K66" s="84"/>
      <c r="L66" s="84"/>
      <c r="M66" s="84"/>
      <c r="N66" s="84"/>
      <c r="O66" s="84"/>
      <c r="P66" s="118"/>
      <c r="R66" s="21"/>
      <c r="X66" s="22"/>
    </row>
    <row r="67" spans="1:24" x14ac:dyDescent="0.2">
      <c r="A67" s="86"/>
      <c r="B67" s="45"/>
      <c r="C67" s="45"/>
      <c r="D67" s="45"/>
      <c r="E67" s="45"/>
      <c r="F67" s="45"/>
      <c r="G67" s="45"/>
      <c r="H67" s="84"/>
      <c r="I67" s="84"/>
      <c r="J67" s="84"/>
      <c r="K67" s="84"/>
      <c r="L67" s="84"/>
      <c r="M67" s="84"/>
      <c r="N67" s="84"/>
      <c r="O67" s="84"/>
      <c r="P67" s="118"/>
      <c r="R67" s="21"/>
      <c r="X67" s="22"/>
    </row>
    <row r="68" spans="1:24" x14ac:dyDescent="0.2">
      <c r="A68" s="86"/>
      <c r="B68" s="45"/>
      <c r="C68" s="45"/>
      <c r="D68" s="45"/>
      <c r="E68" s="45"/>
      <c r="F68" s="45"/>
      <c r="G68" s="45"/>
      <c r="H68" s="84"/>
      <c r="I68" s="84"/>
      <c r="J68" s="84"/>
      <c r="K68" s="84"/>
      <c r="L68" s="84"/>
      <c r="M68" s="84"/>
      <c r="N68" s="84"/>
      <c r="O68" s="84"/>
      <c r="P68" s="118"/>
      <c r="R68" s="21"/>
      <c r="X68" s="22"/>
    </row>
    <row r="69" spans="1:24" x14ac:dyDescent="0.2">
      <c r="A69" s="86"/>
      <c r="B69" s="45"/>
      <c r="C69" s="45"/>
      <c r="D69" s="45"/>
      <c r="E69" s="45"/>
      <c r="F69" s="45"/>
      <c r="G69" s="45"/>
      <c r="H69" s="84"/>
      <c r="I69" s="84"/>
      <c r="J69" s="84"/>
      <c r="K69" s="84"/>
      <c r="L69" s="84"/>
      <c r="M69" s="84"/>
      <c r="N69" s="84"/>
      <c r="O69" s="84"/>
      <c r="P69" s="118"/>
      <c r="R69" s="21"/>
      <c r="X69" s="22"/>
    </row>
    <row r="70" spans="1:24" x14ac:dyDescent="0.2">
      <c r="A70" s="86"/>
      <c r="B70" s="45"/>
      <c r="C70" s="45"/>
      <c r="D70" s="45"/>
      <c r="E70" s="45"/>
      <c r="F70" s="45"/>
      <c r="G70" s="45"/>
      <c r="H70" s="84"/>
      <c r="I70" s="84"/>
      <c r="J70" s="84"/>
      <c r="K70" s="84"/>
      <c r="L70" s="84"/>
      <c r="M70" s="84"/>
      <c r="N70" s="84"/>
      <c r="O70" s="84"/>
      <c r="P70" s="118"/>
      <c r="R70" s="21"/>
      <c r="X70" s="22"/>
    </row>
    <row r="71" spans="1:24" x14ac:dyDescent="0.2">
      <c r="A71" s="86"/>
      <c r="B71" s="45"/>
      <c r="C71" s="45"/>
      <c r="D71" s="45"/>
      <c r="E71" s="45"/>
      <c r="F71" s="45"/>
      <c r="G71" s="45"/>
      <c r="H71" s="84"/>
      <c r="I71" s="84"/>
      <c r="J71" s="84"/>
      <c r="K71" s="84"/>
      <c r="L71" s="84"/>
      <c r="M71" s="84"/>
      <c r="N71" s="84"/>
      <c r="O71" s="84"/>
      <c r="P71" s="118"/>
      <c r="R71" s="21"/>
      <c r="X71" s="22"/>
    </row>
    <row r="72" spans="1:24" x14ac:dyDescent="0.2">
      <c r="A72" s="86"/>
      <c r="B72" s="45"/>
      <c r="C72" s="45"/>
      <c r="D72" s="45"/>
      <c r="E72" s="45"/>
      <c r="F72" s="45"/>
      <c r="G72" s="45"/>
      <c r="H72" s="84"/>
      <c r="I72" s="84"/>
      <c r="J72" s="84"/>
      <c r="K72" s="84"/>
      <c r="L72" s="84"/>
      <c r="M72" s="84"/>
      <c r="N72" s="84"/>
      <c r="O72" s="84"/>
      <c r="P72" s="118"/>
      <c r="R72" s="21"/>
      <c r="X72" s="22"/>
    </row>
    <row r="73" spans="1:24" x14ac:dyDescent="0.2">
      <c r="A73" s="86"/>
      <c r="B73" s="45"/>
      <c r="C73" s="45"/>
      <c r="D73" s="45"/>
      <c r="E73" s="45"/>
      <c r="F73" s="45"/>
      <c r="G73" s="45"/>
      <c r="H73" s="84"/>
      <c r="I73" s="84"/>
      <c r="J73" s="84"/>
      <c r="K73" s="84"/>
      <c r="L73" s="84"/>
      <c r="M73" s="84"/>
      <c r="N73" s="84"/>
      <c r="O73" s="84"/>
      <c r="P73" s="118"/>
      <c r="R73" s="21"/>
      <c r="X73" s="22"/>
    </row>
    <row r="74" spans="1:24" x14ac:dyDescent="0.2">
      <c r="A74" s="86"/>
      <c r="B74" s="45"/>
      <c r="C74" s="45"/>
      <c r="D74" s="45"/>
      <c r="E74" s="45"/>
      <c r="F74" s="45"/>
      <c r="G74" s="45"/>
      <c r="H74" s="84"/>
      <c r="I74" s="84"/>
      <c r="J74" s="84"/>
      <c r="K74" s="84"/>
      <c r="L74" s="84"/>
      <c r="M74" s="84"/>
      <c r="N74" s="84"/>
      <c r="O74" s="84"/>
      <c r="P74" s="118"/>
      <c r="R74" s="21"/>
      <c r="X74" s="22"/>
    </row>
    <row r="75" spans="1:24" x14ac:dyDescent="0.2">
      <c r="A75" s="86"/>
      <c r="B75" s="45"/>
      <c r="C75" s="45"/>
      <c r="D75" s="45"/>
      <c r="E75" s="45"/>
      <c r="F75" s="45"/>
      <c r="G75" s="45"/>
      <c r="H75" s="84"/>
      <c r="I75" s="84"/>
      <c r="J75" s="84"/>
      <c r="K75" s="84"/>
      <c r="L75" s="84"/>
      <c r="M75" s="84"/>
      <c r="N75" s="84"/>
      <c r="O75" s="84"/>
      <c r="P75" s="118"/>
      <c r="R75" s="21"/>
      <c r="X75" s="22"/>
    </row>
    <row r="76" spans="1:24" x14ac:dyDescent="0.2">
      <c r="A76" s="86"/>
      <c r="B76" s="45"/>
      <c r="C76" s="45"/>
      <c r="D76" s="45"/>
      <c r="E76" s="45"/>
      <c r="F76" s="45"/>
      <c r="G76" s="45"/>
      <c r="H76" s="84"/>
      <c r="I76" s="84"/>
      <c r="J76" s="84"/>
      <c r="K76" s="84"/>
      <c r="L76" s="84"/>
      <c r="M76" s="84"/>
      <c r="N76" s="84"/>
      <c r="O76" s="84"/>
      <c r="P76" s="118"/>
      <c r="R76" s="21"/>
      <c r="X76" s="22"/>
    </row>
    <row r="77" spans="1:24" x14ac:dyDescent="0.2">
      <c r="A77" s="86"/>
      <c r="B77" s="45"/>
      <c r="C77" s="45"/>
      <c r="D77" s="45"/>
      <c r="E77" s="45"/>
      <c r="F77" s="45"/>
      <c r="G77" s="45"/>
      <c r="H77" s="84"/>
      <c r="I77" s="84"/>
      <c r="J77" s="84"/>
      <c r="K77" s="84"/>
      <c r="L77" s="84"/>
      <c r="M77" s="84"/>
      <c r="N77" s="84"/>
      <c r="O77" s="84"/>
      <c r="P77" s="118"/>
      <c r="R77" s="21"/>
      <c r="X77" s="22"/>
    </row>
    <row r="78" spans="1:24" ht="13.5" thickBot="1" x14ac:dyDescent="0.25">
      <c r="A78" s="91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119"/>
      <c r="R78" s="21"/>
      <c r="X78" s="22"/>
    </row>
    <row r="79" spans="1:24" x14ac:dyDescent="0.2">
      <c r="P79" s="21"/>
      <c r="R79" s="21"/>
      <c r="X79" s="22"/>
    </row>
    <row r="80" spans="1:24" x14ac:dyDescent="0.2">
      <c r="P80" s="21"/>
      <c r="R80" s="21"/>
      <c r="X80" s="22"/>
    </row>
    <row r="81" spans="16:24" x14ac:dyDescent="0.2">
      <c r="P81" s="21"/>
      <c r="R81" s="21"/>
      <c r="X81" s="22"/>
    </row>
    <row r="82" spans="16:24" x14ac:dyDescent="0.2">
      <c r="P82" s="21"/>
      <c r="R82" s="21"/>
      <c r="X82" s="22"/>
    </row>
    <row r="83" spans="16:24" x14ac:dyDescent="0.2">
      <c r="P83" s="21"/>
      <c r="R83" s="21"/>
      <c r="X83" s="22"/>
    </row>
    <row r="84" spans="16:24" x14ac:dyDescent="0.2">
      <c r="P84" s="21"/>
      <c r="R84" s="21"/>
      <c r="X84" s="22"/>
    </row>
    <row r="85" spans="16:24" x14ac:dyDescent="0.2">
      <c r="P85" s="21"/>
      <c r="R85" s="21"/>
      <c r="X85" s="22"/>
    </row>
    <row r="86" spans="16:24" x14ac:dyDescent="0.2">
      <c r="P86" s="21"/>
      <c r="R86" s="21"/>
      <c r="X86" s="22"/>
    </row>
    <row r="87" spans="16:24" x14ac:dyDescent="0.2">
      <c r="P87" s="21"/>
      <c r="R87" s="21"/>
      <c r="X87" s="22"/>
    </row>
    <row r="88" spans="16:24" x14ac:dyDescent="0.2">
      <c r="P88" s="21"/>
      <c r="R88" s="21"/>
      <c r="X88" s="22"/>
    </row>
    <row r="89" spans="16:24" x14ac:dyDescent="0.2">
      <c r="P89" s="21"/>
      <c r="R89" s="21"/>
      <c r="X89" s="22"/>
    </row>
    <row r="90" spans="16:24" x14ac:dyDescent="0.2">
      <c r="P90" s="21"/>
      <c r="R90" s="21"/>
      <c r="X90" s="22"/>
    </row>
    <row r="91" spans="16:24" x14ac:dyDescent="0.2">
      <c r="P91" s="21"/>
      <c r="R91" s="21"/>
      <c r="X91" s="22"/>
    </row>
    <row r="92" spans="16:24" x14ac:dyDescent="0.2">
      <c r="P92" s="21"/>
      <c r="R92" s="21"/>
      <c r="X92" s="22"/>
    </row>
    <row r="93" spans="16:24" x14ac:dyDescent="0.2">
      <c r="P93" s="21"/>
      <c r="R93" s="21"/>
      <c r="X93" s="22"/>
    </row>
    <row r="94" spans="16:24" x14ac:dyDescent="0.2">
      <c r="P94" s="21"/>
      <c r="R94" s="21"/>
      <c r="X94" s="22"/>
    </row>
    <row r="95" spans="16:24" x14ac:dyDescent="0.2">
      <c r="P95" s="21"/>
      <c r="R95" s="21"/>
      <c r="X95" s="22"/>
    </row>
    <row r="96" spans="16:24" x14ac:dyDescent="0.2">
      <c r="P96" s="21"/>
      <c r="R96" s="21"/>
      <c r="X96" s="22"/>
    </row>
    <row r="97" spans="16:24" x14ac:dyDescent="0.2">
      <c r="P97" s="21"/>
      <c r="R97" s="21"/>
      <c r="X97" s="22"/>
    </row>
    <row r="98" spans="16:24" x14ac:dyDescent="0.2">
      <c r="P98" s="21"/>
      <c r="R98" s="21"/>
      <c r="X98" s="22"/>
    </row>
    <row r="99" spans="16:24" x14ac:dyDescent="0.2">
      <c r="P99" s="21"/>
      <c r="R99" s="21"/>
      <c r="X99" s="22"/>
    </row>
    <row r="100" spans="16:24" x14ac:dyDescent="0.2">
      <c r="P100" s="21"/>
      <c r="R100" s="21"/>
      <c r="X100" s="22"/>
    </row>
    <row r="101" spans="16:24" x14ac:dyDescent="0.2">
      <c r="P101" s="21"/>
      <c r="R101" s="21"/>
      <c r="X101" s="22"/>
    </row>
    <row r="102" spans="16:24" x14ac:dyDescent="0.2">
      <c r="P102" s="21"/>
      <c r="R102" s="21"/>
      <c r="X102" s="22"/>
    </row>
    <row r="103" spans="16:24" x14ac:dyDescent="0.2">
      <c r="P103" s="21"/>
      <c r="R103" s="21"/>
      <c r="X103" s="22"/>
    </row>
    <row r="104" spans="16:24" x14ac:dyDescent="0.2">
      <c r="X104" s="22"/>
    </row>
    <row r="105" spans="16:24" x14ac:dyDescent="0.2">
      <c r="X105" s="22"/>
    </row>
    <row r="106" spans="16:24" x14ac:dyDescent="0.2">
      <c r="X106" s="22"/>
    </row>
    <row r="107" spans="16:24" x14ac:dyDescent="0.2">
      <c r="X107" s="22"/>
    </row>
    <row r="108" spans="16:24" x14ac:dyDescent="0.2">
      <c r="X108" s="22"/>
    </row>
    <row r="109" spans="16:24" x14ac:dyDescent="0.2">
      <c r="X109" s="22"/>
    </row>
    <row r="110" spans="16:24" x14ac:dyDescent="0.2">
      <c r="X110" s="22"/>
    </row>
    <row r="111" spans="16:24" x14ac:dyDescent="0.2">
      <c r="X111" s="22"/>
    </row>
    <row r="112" spans="16:24" x14ac:dyDescent="0.2">
      <c r="X112" s="22"/>
    </row>
    <row r="113" spans="24:24" x14ac:dyDescent="0.2">
      <c r="X113" s="22"/>
    </row>
    <row r="114" spans="24:24" x14ac:dyDescent="0.2">
      <c r="X114" s="22"/>
    </row>
    <row r="115" spans="24:24" x14ac:dyDescent="0.2">
      <c r="X115" s="22"/>
    </row>
    <row r="116" spans="24:24" x14ac:dyDescent="0.2">
      <c r="X116" s="22"/>
    </row>
    <row r="117" spans="24:24" x14ac:dyDescent="0.2">
      <c r="X117" s="22"/>
    </row>
    <row r="118" spans="24:24" x14ac:dyDescent="0.2">
      <c r="X118" s="22"/>
    </row>
    <row r="119" spans="24:24" x14ac:dyDescent="0.2">
      <c r="X119" s="22"/>
    </row>
    <row r="120" spans="24:24" x14ac:dyDescent="0.2">
      <c r="X120" s="22"/>
    </row>
    <row r="121" spans="24:24" x14ac:dyDescent="0.2">
      <c r="X121" s="22"/>
    </row>
  </sheetData>
  <mergeCells count="7">
    <mergeCell ref="A50:G50"/>
    <mergeCell ref="H50:O50"/>
    <mergeCell ref="L4:N4"/>
    <mergeCell ref="L2:N2"/>
    <mergeCell ref="L3:N3"/>
    <mergeCell ref="L5:N5"/>
    <mergeCell ref="L6:N6"/>
  </mergeCells>
  <printOptions gridLines="1" gridLinesSet="0"/>
  <pageMargins left="0.25" right="0.25" top="0.25" bottom="0.25" header="0.75" footer="0.5"/>
  <pageSetup scale="96" orientation="landscape" r:id="rId1"/>
  <headerFooter alignWithMargins="0">
    <oddHeader>&amp;F</oddHeader>
  </headerFooter>
  <rowBreaks count="1" manualBreakCount="1">
    <brk id="27" max="14" man="1"/>
  </rowBreaks>
  <colBreaks count="1" manualBreakCount="1">
    <brk id="15" max="7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DA91ED0B4D44486C9BD57E53708E9" ma:contentTypeVersion="24" ma:contentTypeDescription="Create a new document." ma:contentTypeScope="" ma:versionID="b689bc769c8ebce8320441836784e92a">
  <xsd:schema xmlns:xsd="http://www.w3.org/2001/XMLSchema" xmlns:xs="http://www.w3.org/2001/XMLSchema" xmlns:p="http://schemas.microsoft.com/office/2006/metadata/properties" xmlns:ns1="http://schemas.microsoft.com/sharepoint/v3" xmlns:ns2="4def3c0a-76b0-474b-af9a-bec607c5a212" xmlns:ns3="317e1d9e-ac89-42e2-b2ab-616cc20714e3" targetNamespace="http://schemas.microsoft.com/office/2006/metadata/properties" ma:root="true" ma:fieldsID="fa8268700dbdb6472cd8f1cdf308c65c" ns1:_="" ns2:_="" ns3:_="">
    <xsd:import namespace="http://schemas.microsoft.com/sharepoint/v3"/>
    <xsd:import namespace="4def3c0a-76b0-474b-af9a-bec607c5a212"/>
    <xsd:import namespace="317e1d9e-ac89-42e2-b2ab-616cc2071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f3c0a-76b0-474b-af9a-bec607c5a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e1d9e-ac89-42e2-b2ab-616cc2071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1d031c2-2a11-4d19-ae39-80fdc44fb405}" ma:internalName="TaxCatchAll" ma:showField="CatchAllData" ma:web="317e1d9e-ac89-42e2-b2ab-616cc2071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7e1d9e-ac89-42e2-b2ab-616cc20714e3" xsi:nil="true"/>
    <lcf76f155ced4ddcb4097134ff3c332f xmlns="4def3c0a-76b0-474b-af9a-bec607c5a21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E498451-F97D-45CE-8562-1F8CA84AEFCB}"/>
</file>

<file path=customXml/itemProps2.xml><?xml version="1.0" encoding="utf-8"?>
<ds:datastoreItem xmlns:ds="http://schemas.openxmlformats.org/officeDocument/2006/customXml" ds:itemID="{B87BB820-0FDF-4A93-898B-5F155398C68C}">
  <ds:schemaRefs>
    <ds:schemaRef ds:uri="http://schemas.microsoft.com/office/2006/metadata/properties"/>
    <ds:schemaRef ds:uri="http://schemas.microsoft.com/office/infopath/2007/PartnerControls"/>
    <ds:schemaRef ds:uri="ef62b098-dd26-41b3-8cab-aa39b853c996"/>
    <ds:schemaRef ds:uri="10742c49-d53c-4646-9d45-9dd7c133c604"/>
  </ds:schemaRefs>
</ds:datastoreItem>
</file>

<file path=customXml/itemProps3.xml><?xml version="1.0" encoding="utf-8"?>
<ds:datastoreItem xmlns:ds="http://schemas.openxmlformats.org/officeDocument/2006/customXml" ds:itemID="{2B21FE63-F08B-4C2F-8551-BF1A15C4B1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1E580AB-874A-48A1-8E3C-8B8ED4910C3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Main</vt:lpstr>
      <vt:lpstr>Linear Plot</vt:lpstr>
      <vt:lpstr>Semi-Log Plot</vt:lpstr>
      <vt:lpstr>Main!Print_Area</vt:lpstr>
    </vt:vector>
  </TitlesOfParts>
  <Manager>Dean of Faculty</Manager>
  <Company>US Air Force Academy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Radioactive Decay Graphical Analysis</dc:title>
  <dc:subject>Nuclear Radioactivity</dc:subject>
  <dc:creator>James H. Head;anthony.dills@usafa.edu</dc:creator>
  <cp:keywords>Radialctivity, decay, half-life, graphical</cp:keywords>
  <dc:description>Determination of the Half-Life of a Radioactive Sample via Graphical Analysis of Data.  The process includes an estimate of the uncertainty of the result.  A sheet of Instructions is provided.</dc:description>
  <cp:lastModifiedBy>Carpency, Thienbao N CIV USAF USAFA DF/DFP</cp:lastModifiedBy>
  <cp:revision/>
  <dcterms:created xsi:type="dcterms:W3CDTF">1998-04-22T19:28:03Z</dcterms:created>
  <dcterms:modified xsi:type="dcterms:W3CDTF">2024-08-23T14:44:49Z</dcterms:modified>
  <cp:category>Nuclear Radioactivity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4MJF263UX53K-99-18</vt:lpwstr>
  </property>
  <property fmtid="{D5CDD505-2E9C-101B-9397-08002B2CF9AE}" pid="3" name="_dlc_DocIdItemGuid">
    <vt:lpwstr>42486461-4432-482e-bcb8-4a3ba6f2d771</vt:lpwstr>
  </property>
  <property fmtid="{D5CDD505-2E9C-101B-9397-08002B2CF9AE}" pid="4" name="_dlc_DocIdUrl">
    <vt:lpwstr>https://sharepoint.usafa.edu/academics/physics/RSO/_layouts/DocIdRedir.aspx?ID=4MJF263UX53K-99-18, 4MJF263UX53K-99-18</vt:lpwstr>
  </property>
  <property fmtid="{D5CDD505-2E9C-101B-9397-08002B2CF9AE}" pid="5" name="ContentTypeId">
    <vt:lpwstr>0x010100D45DA91ED0B4D44486C9BD57E53708E9</vt:lpwstr>
  </property>
</Properties>
</file>