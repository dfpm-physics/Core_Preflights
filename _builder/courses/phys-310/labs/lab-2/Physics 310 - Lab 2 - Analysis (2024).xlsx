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fa0-my.sharepoint.com/personal/thienbao_carpency_afacademy_af_edu/Documents/Documents/Physics 310 Principles Nuclear/Fall 2024/Labs/"/>
    </mc:Choice>
  </mc:AlternateContent>
  <xr:revisionPtr revIDLastSave="40" documentId="8_{6E370E42-0349-4F2C-B33A-B0F1873E1CDB}" xr6:coauthVersionLast="47" xr6:coauthVersionMax="47" xr10:uidLastSave="{3544FF13-52C0-4FCE-8841-7ABF334199FC}"/>
  <bookViews>
    <workbookView xWindow="28680" yWindow="-135" windowWidth="29040" windowHeight="15720" activeTab="1" xr2:uid="{00000000-000D-0000-FFFF-FFFF00000000}"/>
  </bookViews>
  <sheets>
    <sheet name="Instructions" sheetId="3" r:id="rId1"/>
    <sheet name="Mai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1" l="1"/>
  <c r="A18" i="1" l="1"/>
  <c r="A19" i="1"/>
  <c r="A20" i="1"/>
  <c r="A17" i="1"/>
  <c r="H36" i="1" l="1"/>
  <c r="H3" i="1" l="1"/>
  <c r="I3" i="1" s="1"/>
  <c r="F2" i="1"/>
  <c r="H43" i="1"/>
  <c r="H17" i="1"/>
  <c r="H18" i="1"/>
  <c r="M2" i="1" l="1"/>
  <c r="M4" i="1" s="1"/>
  <c r="J3" i="1" s="1"/>
  <c r="C6" i="1" l="1"/>
  <c r="K42" i="1" l="1"/>
  <c r="K43" i="1"/>
  <c r="K44" i="1"/>
  <c r="K45" i="1"/>
  <c r="K46" i="1"/>
  <c r="J17" i="1"/>
  <c r="J20" i="1"/>
  <c r="J18" i="1"/>
  <c r="J19" i="1"/>
  <c r="H44" i="1" l="1"/>
  <c r="H45" i="1"/>
  <c r="H46" i="1"/>
  <c r="H19" i="1"/>
  <c r="H20" i="1"/>
  <c r="I43" i="1" l="1"/>
  <c r="I44" i="1"/>
  <c r="I45" i="1"/>
  <c r="I46" i="1"/>
  <c r="I42" i="1"/>
  <c r="E13" i="1" l="1"/>
  <c r="D6" i="1"/>
  <c r="E46" i="1" l="1"/>
  <c r="F46" i="1" s="1"/>
  <c r="E45" i="1"/>
  <c r="F45" i="1" s="1"/>
  <c r="E44" i="1"/>
  <c r="F44" i="1" s="1"/>
  <c r="E43" i="1"/>
  <c r="F43" i="1" s="1"/>
  <c r="E42" i="1"/>
  <c r="F42" i="1" s="1"/>
  <c r="G42" i="1" s="1"/>
  <c r="E20" i="1"/>
  <c r="F20" i="1" s="1"/>
  <c r="E19" i="1"/>
  <c r="F19" i="1" s="1"/>
  <c r="E18" i="1"/>
  <c r="F18" i="1" s="1"/>
  <c r="E17" i="1"/>
  <c r="F17" i="1" s="1"/>
  <c r="C4" i="1"/>
  <c r="G17" i="1" l="1"/>
  <c r="I17" i="1" s="1"/>
  <c r="G18" i="1"/>
  <c r="I18" i="1" s="1"/>
  <c r="G43" i="1"/>
  <c r="J43" i="1" s="1"/>
  <c r="G19" i="1"/>
  <c r="I19" i="1" s="1"/>
  <c r="G44" i="1"/>
  <c r="J44" i="1" s="1"/>
  <c r="G20" i="1"/>
  <c r="I20" i="1" s="1"/>
  <c r="G45" i="1"/>
  <c r="J45" i="1" s="1"/>
  <c r="J42" i="1"/>
  <c r="G46" i="1"/>
  <c r="J46" i="1" s="1"/>
</calcChain>
</file>

<file path=xl/sharedStrings.xml><?xml version="1.0" encoding="utf-8"?>
<sst xmlns="http://schemas.openxmlformats.org/spreadsheetml/2006/main" count="98" uniqueCount="86">
  <si>
    <t>Time Distance Shielding Spreadsheet</t>
  </si>
  <si>
    <t>Measuring Absorption Coefficient for a Material</t>
  </si>
  <si>
    <t>Enter data into the HIGHLIGHTED text fields</t>
  </si>
  <si>
    <t>Section 1.  Given Reference Information</t>
  </si>
  <si>
    <t xml:space="preserve">Read the initial activity from the radioactive source, and input today's date. </t>
  </si>
  <si>
    <t xml:space="preserve">This will tell you the current activity. </t>
  </si>
  <si>
    <t>Input the distance to the source in part 1 (expected to be 5 cm if you use the 5th slot down, input your value if different).</t>
  </si>
  <si>
    <t xml:space="preserve">Get the density and mass attenuation coefficient for the shielding material from your equation sheet. </t>
  </si>
  <si>
    <t>Section 2.  Background Activity</t>
  </si>
  <si>
    <t xml:space="preserve">Take a 2 minute background count (make sure the source is not nearby), input data. </t>
  </si>
  <si>
    <t>Section 3. Shielding</t>
  </si>
  <si>
    <t xml:space="preserve">Select a thickness of attenuating material (use lead). Put the density thickness into B18 (note units).  </t>
  </si>
  <si>
    <t xml:space="preserve">This value will come from the box that the attenuating material is kept in. </t>
  </si>
  <si>
    <t xml:space="preserve">Take a 30 second count (or whatever time you put into D18), and record the counts in C18. </t>
  </si>
  <si>
    <t xml:space="preserve">Repeat for 4 total thicknesses of material. </t>
  </si>
  <si>
    <t>Add a trendline to the semi-log plot on the right (right click on the line, select “Add Trendline”, and then use the tab that pops up to select "linear" and to display the equation and R^2 value)</t>
  </si>
  <si>
    <t>Add a trendline to the plot on the left (select "exponential" rather than linear for the type of line)</t>
  </si>
  <si>
    <t xml:space="preserve">Put the resulting values into the boxes below the plot. </t>
  </si>
  <si>
    <t xml:space="preserve">IF your R^2 value is not good, take more of the same data points, and report your averages. </t>
  </si>
  <si>
    <t>Section 4. Distance</t>
  </si>
  <si>
    <t xml:space="preserve">Select a distance for your source to be from the detector. Put the distance (in cm) into B43. </t>
  </si>
  <si>
    <t xml:space="preserve">Take a 30 second count (or whatever time you put into D43), and record the counts in C43. </t>
  </si>
  <si>
    <t xml:space="preserve">Repeat for 5 total distances. </t>
  </si>
  <si>
    <t xml:space="preserve"> Section 1. Given Reference Information</t>
  </si>
  <si>
    <t>Source</t>
  </si>
  <si>
    <t>Cs-137</t>
  </si>
  <si>
    <t xml:space="preserve">Activity = 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</si>
  <si>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 xml:space="preserve">Ci      = </t>
    </r>
  </si>
  <si>
    <t>Bq (dps)</t>
  </si>
  <si>
    <t>t 1/2 (days)</t>
  </si>
  <si>
    <t>lamda</t>
  </si>
  <si>
    <t>current activity</t>
  </si>
  <si>
    <t>Today's Date</t>
  </si>
  <si>
    <t>radiation types, energy (keV)</t>
  </si>
  <si>
    <t>b-</t>
  </si>
  <si>
    <t>g</t>
  </si>
  <si>
    <t>Bq</t>
  </si>
  <si>
    <t>Date on Source</t>
  </si>
  <si>
    <t>Area of detector</t>
  </si>
  <si>
    <t>A</t>
  </si>
  <si>
    <r>
      <t>cm</t>
    </r>
    <r>
      <rPr>
        <vertAlign val="superscript"/>
        <sz val="11"/>
        <color theme="1"/>
        <rFont val="Calibri"/>
        <family val="2"/>
        <scheme val="minor"/>
      </rPr>
      <t>2</t>
    </r>
  </si>
  <si>
    <t>Days decayed</t>
  </si>
  <si>
    <t>Efficiency of Detector</t>
  </si>
  <si>
    <t>e</t>
  </si>
  <si>
    <t>(estimated)</t>
  </si>
  <si>
    <t>Expected Detector Count</t>
  </si>
  <si>
    <r>
      <t xml:space="preserve">R = </t>
    </r>
    <r>
      <rPr>
        <sz val="11"/>
        <color theme="1"/>
        <rFont val="Symbol"/>
        <family val="1"/>
        <charset val="2"/>
      </rPr>
      <t>e</t>
    </r>
    <r>
      <rPr>
        <sz val="11"/>
        <color theme="1"/>
        <rFont val="Calibri"/>
        <family val="2"/>
        <scheme val="minor"/>
      </rPr>
      <t>S</t>
    </r>
  </si>
  <si>
    <t>source counts expected * efficiency</t>
  </si>
  <si>
    <t>Density of shielding material</t>
  </si>
  <si>
    <t>r</t>
  </si>
  <si>
    <r>
      <t>g/cm</t>
    </r>
    <r>
      <rPr>
        <vertAlign val="superscript"/>
        <sz val="11"/>
        <color theme="1"/>
        <rFont val="Calibri"/>
        <family val="2"/>
        <scheme val="minor"/>
      </rPr>
      <t>3</t>
    </r>
  </si>
  <si>
    <t>Mass Attenuation Coeff of Shielding Material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</si>
  <si>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Symbol"/>
        <family val="1"/>
        <charset val="2"/>
      </rPr>
      <t>r</t>
    </r>
  </si>
  <si>
    <r>
      <t>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/g</t>
    </r>
  </si>
  <si>
    <t>Distance to source (part 1)</t>
  </si>
  <si>
    <t>d</t>
  </si>
  <si>
    <t>cm</t>
  </si>
  <si>
    <t>Section 2. Background Activity</t>
  </si>
  <si>
    <t>Counts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</si>
  <si>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t (s)</t>
    </r>
  </si>
  <si>
    <t>Activity (Bq = dps)</t>
  </si>
  <si>
    <t>Background</t>
  </si>
  <si>
    <r>
      <rPr>
        <i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, thickness 
(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  <scheme val="minor"/>
      </rPr>
      <t>m)</t>
    </r>
  </si>
  <si>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  <scheme val="minor"/>
      </rPr>
      <t>x
(g/cm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</si>
  <si>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Raw Activity (Bq = dps)</t>
  </si>
  <si>
    <t>Net Activity, S (Bq)</t>
  </si>
  <si>
    <r>
      <t xml:space="preserve">Actual Flux, </t>
    </r>
    <r>
      <rPr>
        <i/>
        <sz val="11"/>
        <color theme="1"/>
        <rFont val="Symbol"/>
        <family val="1"/>
        <charset val="2"/>
      </rPr>
      <t xml:space="preserve">f
</t>
    </r>
    <r>
      <rPr>
        <sz val="11"/>
        <color theme="1"/>
        <rFont val="Calibri"/>
        <family val="2"/>
        <scheme val="minor"/>
      </rPr>
      <t>[</t>
    </r>
    <r>
      <rPr>
        <i/>
        <sz val="11"/>
        <color theme="1"/>
        <rFont val="Calibri"/>
        <family val="2"/>
        <scheme val="minor"/>
      </rPr>
      <t>cm</t>
    </r>
    <r>
      <rPr>
        <i/>
        <vertAlign val="superscript"/>
        <sz val="11"/>
        <color theme="1"/>
        <rFont val="Calibri"/>
        <family val="2"/>
        <scheme val="minor"/>
      </rPr>
      <t>-2</t>
    </r>
    <r>
      <rPr>
        <i/>
        <sz val="11"/>
        <color theme="1"/>
        <rFont val="Calibri"/>
        <family val="2"/>
        <scheme val="minor"/>
      </rPr>
      <t xml:space="preserve"> s</t>
    </r>
    <r>
      <rPr>
        <i/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]</t>
    </r>
  </si>
  <si>
    <r>
      <t xml:space="preserve">Uncertainty, </t>
    </r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 xml:space="preserve">
[cm-2 s-1]</t>
    </r>
  </si>
  <si>
    <r>
      <t>ln(</t>
    </r>
    <r>
      <rPr>
        <i/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)</t>
    </r>
    <r>
      <rPr>
        <i/>
        <sz val="11"/>
        <color theme="1"/>
        <rFont val="Symbol"/>
        <family val="1"/>
        <charset val="2"/>
      </rPr>
      <t xml:space="preserve">
</t>
    </r>
    <r>
      <rPr>
        <sz val="11"/>
        <color theme="1"/>
        <rFont val="Calibri"/>
        <family val="2"/>
        <scheme val="minor"/>
      </rPr>
      <t>[</t>
    </r>
    <r>
      <rPr>
        <i/>
        <sz val="11"/>
        <color theme="1"/>
        <rFont val="Calibri"/>
        <family val="2"/>
        <scheme val="minor"/>
      </rPr>
      <t>cm</t>
    </r>
    <r>
      <rPr>
        <i/>
        <vertAlign val="superscript"/>
        <sz val="11"/>
        <color theme="1"/>
        <rFont val="Calibri"/>
        <family val="2"/>
        <scheme val="minor"/>
      </rPr>
      <t>-2</t>
    </r>
    <r>
      <rPr>
        <i/>
        <sz val="11"/>
        <color theme="1"/>
        <rFont val="Calibri"/>
        <family val="2"/>
        <scheme val="minor"/>
      </rPr>
      <t xml:space="preserve"> s</t>
    </r>
    <r>
      <rPr>
        <i/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]</t>
    </r>
  </si>
  <si>
    <r>
      <t xml:space="preserve">Expected Flux, </t>
    </r>
    <r>
      <rPr>
        <i/>
        <sz val="11"/>
        <color theme="1"/>
        <rFont val="Symbol"/>
        <family val="1"/>
        <charset val="2"/>
      </rPr>
      <t xml:space="preserve">f
</t>
    </r>
    <r>
      <rPr>
        <sz val="11"/>
        <color theme="1"/>
        <rFont val="Calibri"/>
        <family val="2"/>
        <scheme val="minor"/>
      </rPr>
      <t>[</t>
    </r>
    <r>
      <rPr>
        <i/>
        <sz val="11"/>
        <color theme="1"/>
        <rFont val="Calibri"/>
        <family val="2"/>
        <scheme val="minor"/>
      </rPr>
      <t>cm</t>
    </r>
    <r>
      <rPr>
        <i/>
        <vertAlign val="superscript"/>
        <sz val="11"/>
        <color theme="1"/>
        <rFont val="Calibri"/>
        <family val="2"/>
        <scheme val="minor"/>
      </rPr>
      <t>-2</t>
    </r>
    <r>
      <rPr>
        <i/>
        <sz val="11"/>
        <color theme="1"/>
        <rFont val="Calibri"/>
        <family val="2"/>
        <scheme val="minor"/>
      </rPr>
      <t xml:space="preserve"> s</t>
    </r>
    <r>
      <rPr>
        <i/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]</t>
    </r>
  </si>
  <si>
    <t>Value</t>
  </si>
  <si>
    <t>Units</t>
  </si>
  <si>
    <t>What is the linear slope in the semi-log plot?</t>
  </si>
  <si>
    <t>What is the R^2 value?</t>
  </si>
  <si>
    <t xml:space="preserve">Uncertainty in the slope from the R^2 value: </t>
  </si>
  <si>
    <t>What is the calculated mass attenuation coefficient?</t>
  </si>
  <si>
    <t>What is the uncertainty in the mass attenuation coefficient?</t>
  </si>
  <si>
    <t>r 
(cm)</t>
  </si>
  <si>
    <t>Net Activity, R (Bq)</t>
  </si>
  <si>
    <t>ln(r) 
(cm)</t>
  </si>
  <si>
    <t>Position 1</t>
  </si>
  <si>
    <t>Position 2</t>
  </si>
  <si>
    <t>Position 3</t>
  </si>
  <si>
    <t>Position 4</t>
  </si>
  <si>
    <t>Position 5</t>
  </si>
  <si>
    <r>
      <t>What is the best fit value for the power of distance (n)?  r</t>
    </r>
    <r>
      <rPr>
        <i/>
        <vertAlign val="superscript"/>
        <sz val="11"/>
        <color theme="1"/>
        <rFont val="Calibri"/>
        <family val="2"/>
        <scheme val="minor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</si>
</sst>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Symbol"/>
      <family val="1"/>
      <charset val="2"/>
    </font>
    <font>
      <i/>
      <sz val="11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  <font>
      <sz val="8"/>
      <color indexed="8"/>
      <name val="Symbol"/>
      <family val="1"/>
      <charset val="2"/>
    </font>
    <font>
      <sz val="8"/>
      <color indexed="8"/>
      <name val="Times New Roman"/>
      <family val="1"/>
    </font>
    <font>
      <vertAlign val="subscript"/>
      <sz val="11"/>
      <color theme="1"/>
      <name val="Symbol"/>
      <family val="1"/>
      <charset val="2"/>
    </font>
    <font>
      <b/>
      <sz val="14"/>
      <name val="Arial"/>
      <family val="2"/>
    </font>
    <font>
      <b/>
      <sz val="10"/>
      <color rgb="FF0000FF"/>
      <name val="Arial"/>
      <family val="2"/>
    </font>
    <font>
      <sz val="12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b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wrapText="1"/>
    </xf>
    <xf numFmtId="2" fontId="1" fillId="0" borderId="0" xfId="0" applyNumberFormat="1" applyFont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2" fillId="0" borderId="0" xfId="0" applyNumberFormat="1" applyFont="1"/>
    <xf numFmtId="0" fontId="0" fillId="2" borderId="0" xfId="0" applyFill="1"/>
    <xf numFmtId="2" fontId="0" fillId="0" borderId="5" xfId="0" applyNumberFormat="1" applyBorder="1"/>
    <xf numFmtId="0" fontId="0" fillId="0" borderId="0" xfId="0" quotePrefix="1"/>
    <xf numFmtId="0" fontId="0" fillId="0" borderId="6" xfId="0" applyBorder="1" applyAlignment="1">
      <alignment horizontal="right"/>
    </xf>
    <xf numFmtId="2" fontId="7" fillId="0" borderId="6" xfId="0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2" borderId="4" xfId="0" applyFill="1" applyBorder="1"/>
    <xf numFmtId="2" fontId="0" fillId="3" borderId="5" xfId="0" applyNumberFormat="1" applyFill="1" applyBorder="1"/>
    <xf numFmtId="0" fontId="0" fillId="2" borderId="0" xfId="0" applyFill="1" applyAlignment="1">
      <alignment horizontal="center"/>
    </xf>
    <xf numFmtId="0" fontId="0" fillId="3" borderId="0" xfId="0" applyFill="1"/>
    <xf numFmtId="14" fontId="0" fillId="0" borderId="0" xfId="0" applyNumberFormat="1"/>
    <xf numFmtId="14" fontId="0" fillId="2" borderId="0" xfId="0" applyNumberFormat="1" applyFill="1"/>
    <xf numFmtId="165" fontId="0" fillId="0" borderId="4" xfId="0" applyNumberFormat="1" applyBorder="1"/>
    <xf numFmtId="0" fontId="10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6" xfId="0" applyFont="1" applyFill="1" applyBorder="1"/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right" wrapText="1"/>
    </xf>
    <xf numFmtId="166" fontId="0" fillId="2" borderId="0" xfId="0" applyNumberFormat="1" applyFill="1"/>
    <xf numFmtId="0" fontId="16" fillId="2" borderId="0" xfId="0" applyFont="1" applyFill="1"/>
    <xf numFmtId="0" fontId="2" fillId="0" borderId="0" xfId="0" applyFont="1" applyAlignment="1">
      <alignment horizontal="left" wrapText="1"/>
    </xf>
    <xf numFmtId="0" fontId="17" fillId="4" borderId="1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Shielding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Main!$G$16</c:f>
              <c:strCache>
                <c:ptCount val="1"/>
                <c:pt idx="0">
                  <c:v>Actual Flux, f
[cm-2 s-1]</c:v>
                </c:pt>
              </c:strCache>
            </c:strRef>
          </c:tx>
          <c:spPr>
            <a:ln w="28575">
              <a:noFill/>
            </a:ln>
          </c:spPr>
          <c:trendline>
            <c:trendlineType val="exp"/>
            <c:dispRSqr val="0"/>
            <c:dispEq val="0"/>
          </c:trendline>
          <c:xVal>
            <c:numRef>
              <c:f>Main!$B$17:$B$20</c:f>
              <c:numCache>
                <c:formatCode>#,##0.000</c:formatCode>
                <c:ptCount val="4"/>
                <c:pt idx="0" formatCode="General">
                  <c:v>0.92169999999999996</c:v>
                </c:pt>
                <c:pt idx="1">
                  <c:v>1.8433999999999999</c:v>
                </c:pt>
                <c:pt idx="2" formatCode="General">
                  <c:v>3.6004499999999999</c:v>
                </c:pt>
                <c:pt idx="3" formatCode="General">
                  <c:v>7.2008999999999999</c:v>
                </c:pt>
              </c:numCache>
            </c:numRef>
          </c:xVal>
          <c:yVal>
            <c:numRef>
              <c:f>Main!$G$17:$G$20</c:f>
              <c:numCache>
                <c:formatCode>0.0</c:formatCode>
                <c:ptCount val="4"/>
                <c:pt idx="0">
                  <c:v>1.118800303660805</c:v>
                </c:pt>
                <c:pt idx="1">
                  <c:v>0.85472099067869722</c:v>
                </c:pt>
                <c:pt idx="2">
                  <c:v>0.73682844024025618</c:v>
                </c:pt>
                <c:pt idx="3">
                  <c:v>0.57649457164397644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A8-8E4E-BF99-EA7AEADBF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428880"/>
        <c:axId val="403431624"/>
      </c:scatterChart>
      <c:valAx>
        <c:axId val="403428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latin typeface="Symbol" panose="05050102010706020507" pitchFamily="18" charset="2"/>
                  </a:rPr>
                  <a:t>r</a:t>
                </a:r>
                <a:r>
                  <a:rPr lang="en-US"/>
                  <a:t>x (g/cm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3431624"/>
        <c:crosses val="autoZero"/>
        <c:crossBetween val="midCat"/>
      </c:valAx>
      <c:valAx>
        <c:axId val="4034316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i="1">
                    <a:latin typeface="Symbol" panose="05050102010706020507" pitchFamily="18" charset="2"/>
                  </a:rPr>
                  <a:t>f</a:t>
                </a:r>
                <a:r>
                  <a:rPr lang="en-US"/>
                  <a:t> (cm</a:t>
                </a:r>
                <a:r>
                  <a:rPr lang="en-US" baseline="30000"/>
                  <a:t>-2</a:t>
                </a:r>
                <a:r>
                  <a:rPr lang="en-US"/>
                  <a:t> s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03428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Shielding (Semi-Log)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Main!$I$16</c:f>
              <c:strCache>
                <c:ptCount val="1"/>
                <c:pt idx="0">
                  <c:v>ln(f)
[cm-2 s-1]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1.6516237260114228E-2"/>
                  <c:y val="6.317967072297781E-2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Main!$H$17:$H$20</c:f>
                <c:numCache>
                  <c:formatCode>General</c:formatCode>
                  <c:ptCount val="4"/>
                  <c:pt idx="0">
                    <c:v>0.55251948180835919</c:v>
                  </c:pt>
                  <c:pt idx="1">
                    <c:v>0.49300664859163468</c:v>
                  </c:pt>
                  <c:pt idx="2">
                    <c:v>0.4639803635691685</c:v>
                  </c:pt>
                  <c:pt idx="3">
                    <c:v>0.42130748865881795</c:v>
                  </c:pt>
                </c:numCache>
              </c:numRef>
            </c:plus>
            <c:minus>
              <c:numRef>
                <c:f>Main!$H$17:$H$20</c:f>
                <c:numCache>
                  <c:formatCode>General</c:formatCode>
                  <c:ptCount val="4"/>
                  <c:pt idx="0">
                    <c:v>0.55251948180835919</c:v>
                  </c:pt>
                  <c:pt idx="1">
                    <c:v>0.49300664859163468</c:v>
                  </c:pt>
                  <c:pt idx="2">
                    <c:v>0.4639803635691685</c:v>
                  </c:pt>
                  <c:pt idx="3">
                    <c:v>0.42130748865881795</c:v>
                  </c:pt>
                </c:numCache>
              </c:numRef>
            </c:minus>
          </c:errBars>
          <c:xVal>
            <c:numRef>
              <c:f>Main!$B$17:$B$20</c:f>
              <c:numCache>
                <c:formatCode>#,##0.000</c:formatCode>
                <c:ptCount val="4"/>
                <c:pt idx="0" formatCode="General">
                  <c:v>0.92169999999999996</c:v>
                </c:pt>
                <c:pt idx="1">
                  <c:v>1.8433999999999999</c:v>
                </c:pt>
                <c:pt idx="2" formatCode="General">
                  <c:v>3.6004499999999999</c:v>
                </c:pt>
                <c:pt idx="3" formatCode="General">
                  <c:v>7.2008999999999999</c:v>
                </c:pt>
              </c:numCache>
            </c:numRef>
          </c:xVal>
          <c:yVal>
            <c:numRef>
              <c:f>Main!$I$17:$I$20</c:f>
              <c:numCache>
                <c:formatCode>0.00</c:formatCode>
                <c:ptCount val="4"/>
                <c:pt idx="0">
                  <c:v>0.1122569537621529</c:v>
                </c:pt>
                <c:pt idx="1">
                  <c:v>-0.15698018999310009</c:v>
                </c:pt>
                <c:pt idx="2">
                  <c:v>-0.30540019511137345</c:v>
                </c:pt>
                <c:pt idx="3">
                  <c:v>-0.55078935537290286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DB-9E44-B01D-C2CDDC9D8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432408"/>
        <c:axId val="403429272"/>
      </c:scatterChart>
      <c:valAx>
        <c:axId val="403432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>
                    <a:latin typeface="Symbol" panose="05050102010706020507" pitchFamily="18" charset="2"/>
                  </a:rPr>
                  <a:t>r</a:t>
                </a:r>
                <a:r>
                  <a:rPr lang="en-US"/>
                  <a:t>x (g/cm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03429272"/>
        <c:crosses val="autoZero"/>
        <c:crossBetween val="midCat"/>
      </c:valAx>
      <c:valAx>
        <c:axId val="403429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i="1" baseline="0">
                    <a:latin typeface="Symbol" panose="05050102010706020507" pitchFamily="18" charset="2"/>
                  </a:rPr>
                  <a:t> </a:t>
                </a:r>
                <a:r>
                  <a:rPr lang="en-US" i="1" baseline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ln </a:t>
                </a:r>
                <a:r>
                  <a:rPr lang="en-US" i="1">
                    <a:latin typeface="Symbol" panose="05050102010706020507" pitchFamily="18" charset="2"/>
                  </a:rPr>
                  <a:t>f</a:t>
                </a:r>
                <a:r>
                  <a:rPr lang="en-US"/>
                  <a:t> (cm</a:t>
                </a:r>
                <a:r>
                  <a:rPr lang="en-US" baseline="30000"/>
                  <a:t>-2</a:t>
                </a:r>
                <a:r>
                  <a:rPr lang="en-US"/>
                  <a:t> s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0343240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Main!$G$41</c:f>
              <c:strCache>
                <c:ptCount val="1"/>
                <c:pt idx="0">
                  <c:v>Actual Flux, f
[cm-2 s-1]</c:v>
                </c:pt>
              </c:strCache>
            </c:strRef>
          </c:tx>
          <c:spPr>
            <a:ln w="28575">
              <a:noFill/>
            </a:ln>
          </c:spPr>
          <c:trendline>
            <c:trendlineType val="power"/>
            <c:dispRSqr val="0"/>
            <c:dispEq val="0"/>
          </c:trendline>
          <c:xVal>
            <c:numRef>
              <c:f>Main!$B$42:$B$46</c:f>
              <c:numCache>
                <c:formatCode>General</c:formatCode>
                <c:ptCount val="5"/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</c:numCache>
            </c:numRef>
          </c:xVal>
          <c:yVal>
            <c:numRef>
              <c:f>Main!$G$42:$G$46</c:f>
              <c:numCache>
                <c:formatCode>0.0</c:formatCode>
                <c:ptCount val="5"/>
                <c:pt idx="0">
                  <c:v>0</c:v>
                </c:pt>
                <c:pt idx="1">
                  <c:v>0.89716230883653603</c:v>
                </c:pt>
                <c:pt idx="2">
                  <c:v>0.37371938488985795</c:v>
                </c:pt>
                <c:pt idx="3">
                  <c:v>0.19923841024096525</c:v>
                </c:pt>
                <c:pt idx="4">
                  <c:v>0.13321858199543832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90-564C-A0DE-93F95F21D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427312"/>
        <c:axId val="343813112"/>
      </c:scatterChart>
      <c:valAx>
        <c:axId val="403427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3813112"/>
        <c:crosses val="autoZero"/>
        <c:crossBetween val="midCat"/>
      </c:valAx>
      <c:valAx>
        <c:axId val="343813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u="none" strike="noStrike" baseline="0">
                    <a:effectLst/>
                    <a:latin typeface="Symbol" panose="05050102010706020507" pitchFamily="18" charset="2"/>
                  </a:rPr>
                  <a:t>f </a:t>
                </a:r>
                <a:r>
                  <a:rPr lang="en-US" sz="1000" b="1" i="0" u="none" strike="noStrike" baseline="0">
                    <a:effectLst/>
                  </a:rPr>
                  <a:t>[cm</a:t>
                </a:r>
                <a:r>
                  <a:rPr lang="en-US" sz="1000" b="1" i="0" u="none" strike="noStrike" baseline="30000">
                    <a:effectLst/>
                  </a:rPr>
                  <a:t>-2</a:t>
                </a:r>
                <a:r>
                  <a:rPr lang="en-US" sz="1000" b="1" i="0" u="none" strike="noStrike" baseline="0">
                    <a:effectLst/>
                  </a:rPr>
                  <a:t> s</a:t>
                </a:r>
                <a:r>
                  <a:rPr lang="en-US" sz="1000" b="1" i="0" u="none" strike="noStrike" baseline="30000">
                    <a:effectLst/>
                  </a:rPr>
                  <a:t>-1</a:t>
                </a:r>
                <a:r>
                  <a:rPr lang="en-US" sz="1000" b="1" i="0" u="none" strike="noStrike" baseline="0">
                    <a:effectLst/>
                  </a:rPr>
                  <a:t>]</a:t>
                </a:r>
                <a:endParaRPr lang="en-US"/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03427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Distance (Log-Log)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Main!$J$41</c:f>
              <c:strCache>
                <c:ptCount val="1"/>
                <c:pt idx="0">
                  <c:v>ln(f)
[cm-2 s-1]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Main!$H$42:$H$46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0.5030462757595523</c:v>
                  </c:pt>
                  <c:pt idx="2">
                    <c:v>0.36016971308290519</c:v>
                  </c:pt>
                  <c:pt idx="3">
                    <c:v>0.29767618499152915</c:v>
                  </c:pt>
                  <c:pt idx="4">
                    <c:v>0.27028791233711424</c:v>
                  </c:pt>
                </c:numCache>
              </c:numRef>
            </c:plus>
            <c:minus>
              <c:numRef>
                <c:f>Main!$H$42:$H$46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0.5030462757595523</c:v>
                  </c:pt>
                  <c:pt idx="2">
                    <c:v>0.36016971308290519</c:v>
                  </c:pt>
                  <c:pt idx="3">
                    <c:v>0.29767618499152915</c:v>
                  </c:pt>
                  <c:pt idx="4">
                    <c:v>0.27028791233711424</c:v>
                  </c:pt>
                </c:numCache>
              </c:numRef>
            </c:minus>
          </c:errBars>
          <c:xVal>
            <c:numRef>
              <c:f>Main!$I$42:$I$46</c:f>
              <c:numCache>
                <c:formatCode>0.00</c:formatCode>
                <c:ptCount val="5"/>
                <c:pt idx="0">
                  <c:v>0</c:v>
                </c:pt>
                <c:pt idx="1">
                  <c:v>2.3025850929940459</c:v>
                </c:pt>
                <c:pt idx="2">
                  <c:v>2.7080502011022101</c:v>
                </c:pt>
                <c:pt idx="3">
                  <c:v>2.9957322735539909</c:v>
                </c:pt>
                <c:pt idx="4">
                  <c:v>3.4011973816621555</c:v>
                </c:pt>
              </c:numCache>
            </c:numRef>
          </c:xVal>
          <c:yVal>
            <c:numRef>
              <c:f>Main!$J$42:$J$46</c:f>
              <c:numCache>
                <c:formatCode>0.00</c:formatCode>
                <c:ptCount val="5"/>
                <c:pt idx="0">
                  <c:v>0</c:v>
                </c:pt>
                <c:pt idx="1">
                  <c:v>-0.10851848698608899</c:v>
                </c:pt>
                <c:pt idx="2">
                  <c:v>-0.98425007097049433</c:v>
                </c:pt>
                <c:pt idx="3">
                  <c:v>-1.6132531299247015</c:v>
                </c:pt>
                <c:pt idx="4">
                  <c:v>-2.0157640261354342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B7-FF49-BA89-89A208B32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230424"/>
        <c:axId val="345230816"/>
      </c:scatterChart>
      <c:valAx>
        <c:axId val="345230424"/>
        <c:scaling>
          <c:orientation val="minMax"/>
          <c:min val="2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ln(r) [cm]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45230816"/>
        <c:crosses val="autoZero"/>
        <c:crossBetween val="midCat"/>
      </c:valAx>
      <c:valAx>
        <c:axId val="345230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800" b="1" i="0" u="none" strike="noStrike" kern="1200" baseline="0">
                    <a:solidFill>
                      <a:sysClr val="windowText" lastClr="000000"/>
                    </a:solidFill>
                  </a:rPr>
                  <a:t>ln(</a:t>
                </a:r>
                <a:r>
                  <a:rPr lang="en-US" sz="1000" b="1" i="0" u="none" strike="noStrike" baseline="0">
                    <a:effectLst/>
                    <a:latin typeface="Symbol" panose="05050102010706020507" pitchFamily="18" charset="2"/>
                  </a:rPr>
                  <a:t>f ) </a:t>
                </a:r>
                <a:r>
                  <a:rPr lang="en-US" sz="1000" b="1" i="0" u="none" strike="noStrike" baseline="0">
                    <a:effectLst/>
                  </a:rPr>
                  <a:t>[cm</a:t>
                </a:r>
                <a:r>
                  <a:rPr lang="en-US" sz="1000" b="1" i="0" u="none" strike="noStrike" baseline="30000">
                    <a:effectLst/>
                  </a:rPr>
                  <a:t>-2</a:t>
                </a:r>
                <a:r>
                  <a:rPr lang="en-US" sz="1000" b="1" i="0" u="none" strike="noStrike" baseline="0">
                    <a:effectLst/>
                  </a:rPr>
                  <a:t> s</a:t>
                </a:r>
                <a:r>
                  <a:rPr lang="en-US" sz="1000" b="1" i="0" u="none" strike="noStrike" baseline="30000">
                    <a:effectLst/>
                  </a:rPr>
                  <a:t>-1</a:t>
                </a:r>
                <a:r>
                  <a:rPr lang="en-US" sz="1000" b="1" i="0" u="none" strike="noStrike" baseline="0">
                    <a:effectLst/>
                  </a:rPr>
                  <a:t>]</a:t>
                </a:r>
                <a:endParaRPr lang="en-US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452304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15</xdr:row>
      <xdr:rowOff>4762</xdr:rowOff>
    </xdr:from>
    <xdr:ext cx="1104900" cy="3546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66675" y="2995612"/>
              <a:ext cx="1104900" cy="354649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𝜙</m:t>
                    </m:r>
                    <m:r>
                      <a:rPr lang="en-US" sz="1100" b="0" i="1">
                        <a:latin typeface="Cambria Math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/>
                          </a:rPr>
                          <m:t>𝜙</m:t>
                        </m:r>
                      </m:e>
                      <m:sub>
                        <m:r>
                          <a:rPr lang="en-US" sz="1100" b="0" i="1">
                            <a:latin typeface="Cambria Math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/>
                          </a:rPr>
                          <m:t>𝑒</m:t>
                        </m:r>
                      </m:e>
                      <m:sup>
                        <m:r>
                          <a:rPr lang="en-US" sz="1100" b="0" i="1">
                            <a:latin typeface="Cambria Math"/>
                          </a:rPr>
                          <m:t>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/>
                                  </a:rPr>
                                  <m:t>𝜇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/>
                                  </a:rPr>
                                  <m:t>𝜌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/>
                          </a:rPr>
                          <m:t>𝜌</m:t>
                        </m:r>
                        <m:r>
                          <a:rPr lang="en-US" sz="1100" b="0" i="1">
                            <a:latin typeface="Cambria Math"/>
                          </a:rPr>
                          <m:t>𝑥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66675" y="2995612"/>
              <a:ext cx="1104900" cy="354649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𝜙=𝜙_0 𝑒^(−(𝜇/𝜌)𝜌𝑥)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142875</xdr:colOff>
      <xdr:row>40</xdr:row>
      <xdr:rowOff>14287</xdr:rowOff>
    </xdr:from>
    <xdr:ext cx="914400" cy="4103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142875" y="7462837"/>
              <a:ext cx="914400" cy="410305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𝜙</m:t>
                    </m:r>
                    <m:r>
                      <a:rPr lang="en-US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/>
                          </a:rPr>
                          <m:t>𝑆</m:t>
                        </m:r>
                      </m:num>
                      <m:den>
                        <m:r>
                          <a:rPr lang="en-US" sz="1100" b="0" i="1">
                            <a:latin typeface="Cambria Math"/>
                          </a:rPr>
                          <m:t>4</m:t>
                        </m:r>
                        <m:r>
                          <a:rPr lang="en-US" sz="1100" b="0" i="1">
                            <a:latin typeface="Cambria Math"/>
                          </a:rPr>
                          <m:t>𝜋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/>
                              </a:rPr>
                              <m:t>𝑟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142875" y="7462837"/>
              <a:ext cx="914400" cy="410305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𝜙=𝑆/(4𝜋𝑟^2 )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0</xdr:col>
      <xdr:colOff>295275</xdr:colOff>
      <xdr:row>20</xdr:row>
      <xdr:rowOff>104776</xdr:rowOff>
    </xdr:from>
    <xdr:to>
      <xdr:col>4</xdr:col>
      <xdr:colOff>76200</xdr:colOff>
      <xdr:row>31</xdr:row>
      <xdr:rowOff>123826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514349</xdr:colOff>
      <xdr:row>20</xdr:row>
      <xdr:rowOff>85726</xdr:rowOff>
    </xdr:from>
    <xdr:to>
      <xdr:col>8</xdr:col>
      <xdr:colOff>666750</xdr:colOff>
      <xdr:row>31</xdr:row>
      <xdr:rowOff>85726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46</xdr:row>
      <xdr:rowOff>185738</xdr:rowOff>
    </xdr:from>
    <xdr:to>
      <xdr:col>3</xdr:col>
      <xdr:colOff>571500</xdr:colOff>
      <xdr:row>59</xdr:row>
      <xdr:rowOff>9526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57150</xdr:colOff>
      <xdr:row>47</xdr:row>
      <xdr:rowOff>4763</xdr:rowOff>
    </xdr:from>
    <xdr:to>
      <xdr:col>8</xdr:col>
      <xdr:colOff>409575</xdr:colOff>
      <xdr:row>59</xdr:row>
      <xdr:rowOff>19051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>
      <selection activeCell="G24" sqref="G24"/>
    </sheetView>
  </sheetViews>
  <sheetFormatPr defaultRowHeight="15" x14ac:dyDescent="0.25"/>
  <sheetData>
    <row r="1" spans="1:8" ht="18" x14ac:dyDescent="0.25">
      <c r="A1" s="24" t="s">
        <v>0</v>
      </c>
      <c r="B1" s="24"/>
    </row>
    <row r="2" spans="1:8" x14ac:dyDescent="0.25">
      <c r="B2" t="s">
        <v>1</v>
      </c>
    </row>
    <row r="4" spans="1:8" ht="15.75" x14ac:dyDescent="0.25">
      <c r="A4" s="25" t="s">
        <v>2</v>
      </c>
      <c r="B4" s="26"/>
      <c r="C4" s="9"/>
      <c r="D4" s="9"/>
      <c r="E4" s="9"/>
    </row>
    <row r="5" spans="1:8" x14ac:dyDescent="0.25">
      <c r="A5" s="27"/>
    </row>
    <row r="6" spans="1:8" ht="15.75" x14ac:dyDescent="0.25">
      <c r="A6" s="28" t="s">
        <v>3</v>
      </c>
    </row>
    <row r="7" spans="1:8" x14ac:dyDescent="0.25">
      <c r="A7" s="27"/>
      <c r="B7" t="s">
        <v>4</v>
      </c>
      <c r="H7" s="29"/>
    </row>
    <row r="8" spans="1:8" x14ac:dyDescent="0.25">
      <c r="A8" s="27"/>
      <c r="C8" t="s">
        <v>5</v>
      </c>
    </row>
    <row r="9" spans="1:8" x14ac:dyDescent="0.25">
      <c r="A9" s="27"/>
      <c r="B9" t="s">
        <v>6</v>
      </c>
    </row>
    <row r="10" spans="1:8" x14ac:dyDescent="0.25">
      <c r="A10" s="27"/>
      <c r="B10" t="s">
        <v>7</v>
      </c>
    </row>
    <row r="11" spans="1:8" x14ac:dyDescent="0.25">
      <c r="A11" s="27"/>
    </row>
    <row r="12" spans="1:8" ht="15.75" x14ac:dyDescent="0.25">
      <c r="A12" s="28" t="s">
        <v>8</v>
      </c>
    </row>
    <row r="13" spans="1:8" x14ac:dyDescent="0.25">
      <c r="B13" t="s">
        <v>9</v>
      </c>
    </row>
    <row r="14" spans="1:8" x14ac:dyDescent="0.25">
      <c r="A14" s="27"/>
      <c r="B14" s="29"/>
    </row>
    <row r="15" spans="1:8" ht="15.75" x14ac:dyDescent="0.25">
      <c r="A15" s="28" t="s">
        <v>10</v>
      </c>
    </row>
    <row r="16" spans="1:8" x14ac:dyDescent="0.25">
      <c r="A16" s="27"/>
      <c r="B16" t="s">
        <v>11</v>
      </c>
    </row>
    <row r="17" spans="1:3" x14ac:dyDescent="0.25">
      <c r="A17" s="27"/>
      <c r="C17" t="s">
        <v>12</v>
      </c>
    </row>
    <row r="18" spans="1:3" x14ac:dyDescent="0.25">
      <c r="B18" t="s">
        <v>13</v>
      </c>
    </row>
    <row r="19" spans="1:3" x14ac:dyDescent="0.25">
      <c r="B19" t="s">
        <v>14</v>
      </c>
    </row>
    <row r="20" spans="1:3" x14ac:dyDescent="0.25">
      <c r="A20" s="27"/>
      <c r="B20" t="s">
        <v>15</v>
      </c>
    </row>
    <row r="21" spans="1:3" x14ac:dyDescent="0.25">
      <c r="A21" s="27"/>
      <c r="B21" t="s">
        <v>16</v>
      </c>
      <c r="C21" s="29"/>
    </row>
    <row r="22" spans="1:3" x14ac:dyDescent="0.25">
      <c r="A22" s="27"/>
      <c r="B22" t="s">
        <v>17</v>
      </c>
      <c r="C22" s="29"/>
    </row>
    <row r="23" spans="1:3" x14ac:dyDescent="0.25">
      <c r="A23" s="27"/>
      <c r="B23" t="s">
        <v>18</v>
      </c>
      <c r="C23" s="29"/>
    </row>
    <row r="25" spans="1:3" ht="15.75" x14ac:dyDescent="0.25">
      <c r="A25" s="28" t="s">
        <v>19</v>
      </c>
      <c r="B25" s="29"/>
    </row>
    <row r="26" spans="1:3" x14ac:dyDescent="0.25">
      <c r="B26" t="s">
        <v>20</v>
      </c>
      <c r="C26" s="29"/>
    </row>
    <row r="27" spans="1:3" x14ac:dyDescent="0.25">
      <c r="A27" s="27"/>
      <c r="B27" t="s">
        <v>21</v>
      </c>
    </row>
    <row r="28" spans="1:3" x14ac:dyDescent="0.25">
      <c r="A28" s="27"/>
      <c r="B28" t="s">
        <v>22</v>
      </c>
    </row>
    <row r="29" spans="1:3" x14ac:dyDescent="0.25">
      <c r="B29" t="s">
        <v>18</v>
      </c>
    </row>
    <row r="31" spans="1:3" x14ac:dyDescent="0.25">
      <c r="A31" s="27"/>
      <c r="B31" s="29"/>
    </row>
    <row r="32" spans="1:3" x14ac:dyDescent="0.25">
      <c r="A32" s="27"/>
      <c r="B32" s="29"/>
    </row>
    <row r="33" spans="2:2" x14ac:dyDescent="0.25">
      <c r="B33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4"/>
  <sheetViews>
    <sheetView tabSelected="1" topLeftCell="A32" zoomScaleNormal="100" workbookViewId="0">
      <selection activeCell="N56" sqref="N56"/>
    </sheetView>
  </sheetViews>
  <sheetFormatPr defaultColWidth="8.85546875" defaultRowHeight="15" x14ac:dyDescent="0.25"/>
  <cols>
    <col min="1" max="1" width="41.7109375" bestFit="1" customWidth="1"/>
    <col min="2" max="2" width="11.42578125" customWidth="1"/>
    <col min="5" max="5" width="10.140625" customWidth="1"/>
    <col min="7" max="7" width="15.42578125" customWidth="1"/>
    <col min="8" max="8" width="16.42578125" bestFit="1" customWidth="1"/>
    <col min="9" max="9" width="12" bestFit="1" customWidth="1"/>
    <col min="10" max="10" width="14.42578125" bestFit="1" customWidth="1"/>
    <col min="11" max="11" width="11.140625" customWidth="1"/>
    <col min="12" max="12" width="13.5703125" bestFit="1" customWidth="1"/>
    <col min="13" max="13" width="9.42578125" bestFit="1" customWidth="1"/>
  </cols>
  <sheetData>
    <row r="1" spans="1:13" ht="19.5" thickBot="1" x14ac:dyDescent="0.35">
      <c r="A1" s="37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9"/>
    </row>
    <row r="2" spans="1:13" x14ac:dyDescent="0.25">
      <c r="A2" s="5" t="s">
        <v>24</v>
      </c>
      <c r="B2" t="s">
        <v>25</v>
      </c>
      <c r="C2" s="6" t="s">
        <v>26</v>
      </c>
      <c r="D2" s="19">
        <v>5</v>
      </c>
      <c r="E2" s="7" t="s">
        <v>27</v>
      </c>
      <c r="F2" s="7">
        <f>D2*37000</f>
        <v>185000</v>
      </c>
      <c r="G2" t="s">
        <v>28</v>
      </c>
      <c r="H2" t="s">
        <v>29</v>
      </c>
      <c r="I2" s="7" t="s">
        <v>30</v>
      </c>
      <c r="J2" s="7" t="s">
        <v>31</v>
      </c>
      <c r="L2" t="s">
        <v>32</v>
      </c>
      <c r="M2" s="21">
        <f ca="1">TODAY()</f>
        <v>45560</v>
      </c>
    </row>
    <row r="3" spans="1:13" x14ac:dyDescent="0.25">
      <c r="A3" s="12" t="s">
        <v>33</v>
      </c>
      <c r="B3" s="13" t="s">
        <v>34</v>
      </c>
      <c r="C3" s="14">
        <v>156.80000000000001</v>
      </c>
      <c r="D3" s="13" t="s">
        <v>35</v>
      </c>
      <c r="E3" s="14">
        <v>661.65</v>
      </c>
      <c r="F3" s="15"/>
      <c r="G3" s="16"/>
      <c r="H3">
        <f>30.05*365</f>
        <v>10968.25</v>
      </c>
      <c r="I3">
        <f>LN(2)/H3</f>
        <v>6.3195786069787367E-5</v>
      </c>
      <c r="J3">
        <f ca="1">F2*EXP(-I3*M4)</f>
        <v>126939.28992806919</v>
      </c>
      <c r="K3" t="s">
        <v>36</v>
      </c>
      <c r="L3" t="s">
        <v>37</v>
      </c>
      <c r="M3" s="22">
        <v>39600</v>
      </c>
    </row>
    <row r="4" spans="1:13" ht="17.25" x14ac:dyDescent="0.25">
      <c r="A4" t="s">
        <v>38</v>
      </c>
      <c r="B4" t="s">
        <v>39</v>
      </c>
      <c r="C4" s="2">
        <f>PI()*(3/2)^2</f>
        <v>7.0685834705770345</v>
      </c>
      <c r="D4" t="s">
        <v>40</v>
      </c>
      <c r="L4" t="s">
        <v>41</v>
      </c>
      <c r="M4">
        <f ca="1">M2-M3</f>
        <v>5960</v>
      </c>
    </row>
    <row r="5" spans="1:13" x14ac:dyDescent="0.25">
      <c r="A5" t="s">
        <v>42</v>
      </c>
      <c r="B5" s="8" t="s">
        <v>43</v>
      </c>
      <c r="C5">
        <v>0.1</v>
      </c>
      <c r="D5" t="s">
        <v>44</v>
      </c>
    </row>
    <row r="6" spans="1:13" x14ac:dyDescent="0.25">
      <c r="A6" t="s">
        <v>45</v>
      </c>
      <c r="B6" t="s">
        <v>46</v>
      </c>
      <c r="C6">
        <f ca="1">J3*C5</f>
        <v>12693.928992806919</v>
      </c>
      <c r="D6" t="str">
        <f>G2</f>
        <v>Bq (dps)</v>
      </c>
      <c r="E6" t="s">
        <v>47</v>
      </c>
    </row>
    <row r="7" spans="1:13" ht="17.25" x14ac:dyDescent="0.25">
      <c r="A7" t="s">
        <v>48</v>
      </c>
      <c r="B7" s="36" t="s">
        <v>49</v>
      </c>
      <c r="C7" s="35">
        <v>11.34</v>
      </c>
      <c r="D7" t="s">
        <v>50</v>
      </c>
    </row>
    <row r="8" spans="1:13" ht="17.25" x14ac:dyDescent="0.25">
      <c r="A8" t="s">
        <v>51</v>
      </c>
      <c r="B8" t="s">
        <v>52</v>
      </c>
      <c r="C8" s="35">
        <v>0.12479999999999999</v>
      </c>
      <c r="D8" t="s">
        <v>53</v>
      </c>
    </row>
    <row r="9" spans="1:13" x14ac:dyDescent="0.25">
      <c r="A9" s="16" t="s">
        <v>54</v>
      </c>
      <c r="B9" s="16" t="s">
        <v>55</v>
      </c>
      <c r="C9" s="30">
        <v>5</v>
      </c>
      <c r="D9" s="16" t="s">
        <v>56</v>
      </c>
      <c r="E9" s="16"/>
      <c r="F9" s="16"/>
      <c r="G9" s="16"/>
    </row>
    <row r="10" spans="1:13" ht="15.75" thickBot="1" x14ac:dyDescent="0.3"/>
    <row r="11" spans="1:13" ht="19.5" thickBot="1" x14ac:dyDescent="0.35">
      <c r="A11" s="37" t="s">
        <v>57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9"/>
    </row>
    <row r="12" spans="1:13" ht="30" x14ac:dyDescent="0.25">
      <c r="B12" s="3"/>
      <c r="C12" s="3" t="s">
        <v>58</v>
      </c>
      <c r="D12" s="3" t="s">
        <v>59</v>
      </c>
      <c r="E12" s="3" t="s">
        <v>60</v>
      </c>
    </row>
    <row r="13" spans="1:13" x14ac:dyDescent="0.25">
      <c r="A13" s="5" t="s">
        <v>61</v>
      </c>
      <c r="C13" s="9">
        <v>75</v>
      </c>
      <c r="D13" s="9">
        <v>120</v>
      </c>
      <c r="E13" s="4">
        <f>C13/D13</f>
        <v>0.625</v>
      </c>
      <c r="H13" s="5"/>
    </row>
    <row r="14" spans="1:13" ht="15.75" thickBot="1" x14ac:dyDescent="0.3">
      <c r="B14" s="2"/>
    </row>
    <row r="15" spans="1:13" ht="19.5" thickBot="1" x14ac:dyDescent="0.35">
      <c r="A15" s="37" t="s">
        <v>10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9"/>
    </row>
    <row r="16" spans="1:13" ht="47.25" x14ac:dyDescent="0.25">
      <c r="A16" s="33" t="s">
        <v>62</v>
      </c>
      <c r="B16" s="31" t="s">
        <v>63</v>
      </c>
      <c r="C16" s="31" t="s">
        <v>58</v>
      </c>
      <c r="D16" s="31" t="s">
        <v>59</v>
      </c>
      <c r="E16" s="31" t="s">
        <v>64</v>
      </c>
      <c r="F16" s="31" t="s">
        <v>65</v>
      </c>
      <c r="G16" s="31" t="s">
        <v>66</v>
      </c>
      <c r="H16" s="32" t="s">
        <v>67</v>
      </c>
      <c r="I16" s="32" t="s">
        <v>68</v>
      </c>
      <c r="J16" s="31" t="s">
        <v>69</v>
      </c>
    </row>
    <row r="17" spans="1:10" x14ac:dyDescent="0.25">
      <c r="A17" s="20">
        <f>(B17/$C$7/0.0001)</f>
        <v>812.78659611992941</v>
      </c>
      <c r="B17" s="9">
        <v>0.92169999999999996</v>
      </c>
      <c r="C17" s="9">
        <v>256</v>
      </c>
      <c r="D17" s="9">
        <v>30</v>
      </c>
      <c r="E17" s="1">
        <f>C17/D17</f>
        <v>8.5333333333333332</v>
      </c>
      <c r="F17" s="1">
        <f>E17-$E$13</f>
        <v>7.9083333333333332</v>
      </c>
      <c r="G17" s="2">
        <f>F17/$C$4</f>
        <v>1.118800303660805</v>
      </c>
      <c r="H17" s="18">
        <f>SQRT(C17+$C$13/($D$13/D17))/D17</f>
        <v>0.55251948180835919</v>
      </c>
      <c r="I17" s="10">
        <f>LN(G17)</f>
        <v>0.1122569537621529</v>
      </c>
      <c r="J17" s="2">
        <f ca="1">$C$6*EXP(-$C$8*$C$7*A17*10^-4)/4/PI()/$C$9^2</f>
        <v>36.015553767715971</v>
      </c>
    </row>
    <row r="18" spans="1:10" x14ac:dyDescent="0.25">
      <c r="A18" s="20">
        <f t="shared" ref="A18:A20" si="0">(B18/$C$7/0.0001)</f>
        <v>1625.5731922398588</v>
      </c>
      <c r="B18" s="34">
        <v>1.8433999999999999</v>
      </c>
      <c r="C18" s="9">
        <v>200</v>
      </c>
      <c r="D18" s="9">
        <v>30</v>
      </c>
      <c r="E18" s="1">
        <f>C18/D18</f>
        <v>6.666666666666667</v>
      </c>
      <c r="F18" s="1">
        <f t="shared" ref="F18:F20" si="1">E18-$E$13</f>
        <v>6.041666666666667</v>
      </c>
      <c r="G18" s="2">
        <f>F18/$C$4</f>
        <v>0.85472099067869722</v>
      </c>
      <c r="H18" s="18">
        <f>SQRT(C18+$C$13/($D$13/D18))/D18</f>
        <v>0.49300664859163468</v>
      </c>
      <c r="I18" s="10">
        <f>LN(G18)</f>
        <v>-0.15698018999310009</v>
      </c>
      <c r="J18" s="2">
        <f t="shared" ref="J18:J20" ca="1" si="2">$C$6*EXP(-$C$8*$C$7*A18*10^-4)/4/PI()/$C$9^2</f>
        <v>32.10214127357149</v>
      </c>
    </row>
    <row r="19" spans="1:10" x14ac:dyDescent="0.25">
      <c r="A19" s="20">
        <f t="shared" si="0"/>
        <v>3175</v>
      </c>
      <c r="B19" s="9">
        <v>3.6004499999999999</v>
      </c>
      <c r="C19" s="9">
        <v>175</v>
      </c>
      <c r="D19" s="9">
        <v>30</v>
      </c>
      <c r="E19" s="1">
        <f>C19/D19</f>
        <v>5.833333333333333</v>
      </c>
      <c r="F19" s="1">
        <f t="shared" si="1"/>
        <v>5.208333333333333</v>
      </c>
      <c r="G19" s="2">
        <f>F19/$C$4</f>
        <v>0.73682844024025618</v>
      </c>
      <c r="H19" s="18">
        <f t="shared" ref="H19:H20" si="3">SQRT(C19+$C$13/($D$13/D19))/D19</f>
        <v>0.4639803635691685</v>
      </c>
      <c r="I19" s="10">
        <f>LN(G19)</f>
        <v>-0.30540019511137345</v>
      </c>
      <c r="J19" s="2">
        <f t="shared" ca="1" si="2"/>
        <v>25.781131682845903</v>
      </c>
    </row>
    <row r="20" spans="1:10" x14ac:dyDescent="0.25">
      <c r="A20" s="20">
        <f t="shared" si="0"/>
        <v>6350</v>
      </c>
      <c r="B20" s="9">
        <v>7.2008999999999999</v>
      </c>
      <c r="C20" s="9">
        <v>141</v>
      </c>
      <c r="D20" s="9">
        <v>30</v>
      </c>
      <c r="E20" s="1">
        <f>C20/D20</f>
        <v>4.7</v>
      </c>
      <c r="F20" s="1">
        <f t="shared" si="1"/>
        <v>4.0750000000000002</v>
      </c>
      <c r="G20" s="2">
        <f>F20/$C$4</f>
        <v>0.57649457164397644</v>
      </c>
      <c r="H20" s="18">
        <f t="shared" si="3"/>
        <v>0.42130748865881795</v>
      </c>
      <c r="I20" s="10">
        <f>LN(G20)</f>
        <v>-0.55078935537290286</v>
      </c>
      <c r="J20" s="2">
        <f t="shared" ca="1" si="2"/>
        <v>16.449691681223914</v>
      </c>
    </row>
    <row r="21" spans="1:10" x14ac:dyDescent="0.25">
      <c r="E21" s="1"/>
      <c r="F21" s="1"/>
      <c r="G21" s="2"/>
      <c r="H21" s="1"/>
      <c r="I21" s="1"/>
    </row>
    <row r="22" spans="1:10" x14ac:dyDescent="0.25">
      <c r="E22" s="1"/>
      <c r="F22" s="1"/>
      <c r="G22" s="2"/>
      <c r="H22" s="1"/>
      <c r="I22" s="1"/>
    </row>
    <row r="23" spans="1:10" x14ac:dyDescent="0.25">
      <c r="E23" s="1"/>
      <c r="F23" s="1"/>
      <c r="G23" s="2"/>
      <c r="H23" s="1"/>
      <c r="I23" s="1"/>
    </row>
    <row r="24" spans="1:10" x14ac:dyDescent="0.25">
      <c r="E24" s="1"/>
    </row>
    <row r="25" spans="1:10" x14ac:dyDescent="0.25">
      <c r="E25" s="1"/>
    </row>
    <row r="26" spans="1:10" x14ac:dyDescent="0.25">
      <c r="E26" s="1"/>
    </row>
    <row r="27" spans="1:10" x14ac:dyDescent="0.25">
      <c r="E27" s="1"/>
    </row>
    <row r="28" spans="1:10" x14ac:dyDescent="0.25">
      <c r="E28" s="1"/>
    </row>
    <row r="29" spans="1:10" x14ac:dyDescent="0.25">
      <c r="E29" s="1"/>
    </row>
    <row r="30" spans="1:10" x14ac:dyDescent="0.25">
      <c r="E30" s="1"/>
    </row>
    <row r="31" spans="1:10" x14ac:dyDescent="0.25">
      <c r="E31" s="1"/>
    </row>
    <row r="32" spans="1:10" x14ac:dyDescent="0.25">
      <c r="E32" s="1"/>
    </row>
    <row r="33" spans="1:13" ht="15.75" thickBot="1" x14ac:dyDescent="0.3">
      <c r="E33" s="1"/>
      <c r="H33" s="7" t="s">
        <v>70</v>
      </c>
      <c r="I33" s="7" t="s">
        <v>71</v>
      </c>
    </row>
    <row r="34" spans="1:13" ht="15.75" thickBot="1" x14ac:dyDescent="0.3">
      <c r="E34" s="1"/>
      <c r="G34" s="6" t="s">
        <v>72</v>
      </c>
      <c r="H34" s="17">
        <v>-9.5299999999999996E-2</v>
      </c>
      <c r="I34" s="17"/>
      <c r="J34" s="11"/>
    </row>
    <row r="35" spans="1:13" ht="15.75" thickBot="1" x14ac:dyDescent="0.3">
      <c r="E35" s="1"/>
      <c r="G35" s="6" t="s">
        <v>73</v>
      </c>
      <c r="H35" s="17">
        <v>0.90580000000000005</v>
      </c>
      <c r="I35" s="17"/>
      <c r="J35" s="11"/>
    </row>
    <row r="36" spans="1:13" ht="15.75" thickBot="1" x14ac:dyDescent="0.3">
      <c r="G36" s="6" t="s">
        <v>74</v>
      </c>
      <c r="H36" s="23">
        <f>H34*-1*SQRT((1/(H35^2)-1)/(4-2))</f>
        <v>3.1521704916150819E-2</v>
      </c>
      <c r="I36" s="17"/>
      <c r="J36" s="11"/>
    </row>
    <row r="37" spans="1:13" ht="15.75" thickBot="1" x14ac:dyDescent="0.3">
      <c r="E37" s="1"/>
      <c r="G37" s="6" t="s">
        <v>75</v>
      </c>
      <c r="H37" s="17">
        <v>9.5299999999999996E-2</v>
      </c>
      <c r="I37" s="17"/>
      <c r="J37" s="11"/>
    </row>
    <row r="38" spans="1:13" ht="15.75" thickBot="1" x14ac:dyDescent="0.3">
      <c r="E38" s="1"/>
      <c r="G38" s="6" t="s">
        <v>76</v>
      </c>
      <c r="H38" s="17">
        <v>0.32</v>
      </c>
      <c r="I38" s="17"/>
      <c r="J38" s="11"/>
    </row>
    <row r="39" spans="1:13" ht="15.75" thickBot="1" x14ac:dyDescent="0.3">
      <c r="E39" s="1"/>
      <c r="G39" s="6"/>
      <c r="J39" s="11"/>
    </row>
    <row r="40" spans="1:13" ht="19.5" thickBot="1" x14ac:dyDescent="0.35">
      <c r="A40" s="37" t="s">
        <v>19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9"/>
    </row>
    <row r="41" spans="1:13" ht="47.25" x14ac:dyDescent="0.25">
      <c r="A41" s="16"/>
      <c r="B41" s="31" t="s">
        <v>77</v>
      </c>
      <c r="C41" s="31" t="s">
        <v>58</v>
      </c>
      <c r="D41" s="31" t="s">
        <v>59</v>
      </c>
      <c r="E41" s="31" t="s">
        <v>64</v>
      </c>
      <c r="F41" s="31" t="s">
        <v>78</v>
      </c>
      <c r="G41" s="31" t="s">
        <v>66</v>
      </c>
      <c r="H41" s="32" t="s">
        <v>67</v>
      </c>
      <c r="I41" s="32" t="s">
        <v>79</v>
      </c>
      <c r="J41" s="31" t="s">
        <v>68</v>
      </c>
      <c r="K41" s="31" t="s">
        <v>69</v>
      </c>
    </row>
    <row r="42" spans="1:13" x14ac:dyDescent="0.25">
      <c r="A42" s="6" t="s">
        <v>80</v>
      </c>
      <c r="B42" s="9"/>
      <c r="C42" s="9"/>
      <c r="D42" s="9"/>
      <c r="E42" s="1" t="e">
        <f t="shared" ref="E42:E46" si="4">C42/D42</f>
        <v>#DIV/0!</v>
      </c>
      <c r="F42" s="1" t="e">
        <f>E42-E13</f>
        <v>#DIV/0!</v>
      </c>
      <c r="G42" s="2" t="e">
        <f>F42/$C$4</f>
        <v>#DIV/0!</v>
      </c>
      <c r="H42" s="18" t="e">
        <f>SQRT(C42+$C$13/($D$13/D42))/D42</f>
        <v>#DIV/0!</v>
      </c>
      <c r="I42" s="10" t="e">
        <f>LN(B42)</f>
        <v>#NUM!</v>
      </c>
      <c r="J42" s="1" t="e">
        <f>LN(G42)</f>
        <v>#DIV/0!</v>
      </c>
      <c r="K42" s="2" t="e">
        <f ca="1">$C$6/4/PI()/B42^2</f>
        <v>#DIV/0!</v>
      </c>
    </row>
    <row r="43" spans="1:13" x14ac:dyDescent="0.25">
      <c r="A43" s="6" t="s">
        <v>81</v>
      </c>
      <c r="B43" s="9">
        <v>10</v>
      </c>
      <c r="C43" s="9">
        <v>209</v>
      </c>
      <c r="D43" s="9">
        <v>30</v>
      </c>
      <c r="E43" s="1">
        <f t="shared" si="4"/>
        <v>6.9666666666666668</v>
      </c>
      <c r="F43" s="1">
        <f>E43-E13</f>
        <v>6.3416666666666668</v>
      </c>
      <c r="G43" s="2">
        <f>F43/$C$4</f>
        <v>0.89716230883653603</v>
      </c>
      <c r="H43" s="18">
        <f>SQRT(C43+$C$13/($D$13/D43))/D43</f>
        <v>0.5030462757595523</v>
      </c>
      <c r="I43" s="10">
        <f>LN(B43)</f>
        <v>2.3025850929940459</v>
      </c>
      <c r="J43" s="1">
        <f>LN(G43)</f>
        <v>-0.10851848698608899</v>
      </c>
      <c r="K43" s="2">
        <f t="shared" ref="K43:K46" ca="1" si="5">$C$6/4/PI()/B43^2</f>
        <v>10.101507732313728</v>
      </c>
    </row>
    <row r="44" spans="1:13" x14ac:dyDescent="0.25">
      <c r="A44" s="6" t="s">
        <v>82</v>
      </c>
      <c r="B44" s="9">
        <v>15</v>
      </c>
      <c r="C44" s="9">
        <v>98</v>
      </c>
      <c r="D44" s="9">
        <v>30</v>
      </c>
      <c r="E44" s="1">
        <f t="shared" si="4"/>
        <v>3.2666666666666666</v>
      </c>
      <c r="F44" s="1">
        <f>E44-E13</f>
        <v>2.6416666666666666</v>
      </c>
      <c r="G44" s="2">
        <f>F44/$C$4</f>
        <v>0.37371938488985795</v>
      </c>
      <c r="H44" s="18">
        <f t="shared" ref="H44:H46" si="6">SQRT(C44+$C$13/($D$13/D44))/D44</f>
        <v>0.36016971308290519</v>
      </c>
      <c r="I44" s="10">
        <f>LN(B44)</f>
        <v>2.7080502011022101</v>
      </c>
      <c r="J44" s="1">
        <f>LN(G44)</f>
        <v>-0.98425007097049433</v>
      </c>
      <c r="K44" s="2">
        <f t="shared" ca="1" si="5"/>
        <v>4.4895589921394343</v>
      </c>
    </row>
    <row r="45" spans="1:13" x14ac:dyDescent="0.25">
      <c r="A45" s="6" t="s">
        <v>83</v>
      </c>
      <c r="B45" s="9">
        <v>20</v>
      </c>
      <c r="C45" s="9">
        <v>61</v>
      </c>
      <c r="D45" s="9">
        <v>30</v>
      </c>
      <c r="E45" s="1">
        <f t="shared" si="4"/>
        <v>2.0333333333333332</v>
      </c>
      <c r="F45" s="1">
        <f>E45-E13</f>
        <v>1.4083333333333332</v>
      </c>
      <c r="G45" s="2">
        <f>F45/$C$4</f>
        <v>0.19923841024096525</v>
      </c>
      <c r="H45" s="18">
        <f t="shared" si="6"/>
        <v>0.29767618499152915</v>
      </c>
      <c r="I45" s="10">
        <f>LN(B45)</f>
        <v>2.9957322735539909</v>
      </c>
      <c r="J45" s="1">
        <f>LN(G45)</f>
        <v>-1.6132531299247015</v>
      </c>
      <c r="K45" s="2">
        <f t="shared" ca="1" si="5"/>
        <v>2.5253769330784319</v>
      </c>
    </row>
    <row r="46" spans="1:13" x14ac:dyDescent="0.25">
      <c r="A46" s="6" t="s">
        <v>84</v>
      </c>
      <c r="B46" s="9">
        <v>30</v>
      </c>
      <c r="C46" s="9">
        <v>47</v>
      </c>
      <c r="D46" s="9">
        <v>30</v>
      </c>
      <c r="E46" s="1">
        <f t="shared" si="4"/>
        <v>1.5666666666666667</v>
      </c>
      <c r="F46" s="1">
        <f>E46-E13</f>
        <v>0.94166666666666665</v>
      </c>
      <c r="G46" s="2">
        <f>F46/$C$4</f>
        <v>0.13321858199543832</v>
      </c>
      <c r="H46" s="18">
        <f t="shared" si="6"/>
        <v>0.27028791233711424</v>
      </c>
      <c r="I46" s="10">
        <f>LN(B46)</f>
        <v>3.4011973816621555</v>
      </c>
      <c r="J46" s="1">
        <f>LN(G46)</f>
        <v>-2.0157640261354342</v>
      </c>
      <c r="K46" s="2">
        <f t="shared" ca="1" si="5"/>
        <v>1.1223897480348586</v>
      </c>
    </row>
    <row r="47" spans="1:13" x14ac:dyDescent="0.25">
      <c r="E47" s="1"/>
      <c r="G47" s="2"/>
      <c r="H47" s="2"/>
    </row>
    <row r="48" spans="1:13" x14ac:dyDescent="0.25">
      <c r="E48" s="1"/>
      <c r="G48" s="2"/>
      <c r="H48" s="2"/>
    </row>
    <row r="49" spans="5:9" x14ac:dyDescent="0.25">
      <c r="E49" s="1"/>
      <c r="G49" s="2"/>
      <c r="H49" s="2"/>
    </row>
    <row r="50" spans="5:9" x14ac:dyDescent="0.25">
      <c r="E50" s="1"/>
    </row>
    <row r="60" spans="5:9" ht="15.75" thickBot="1" x14ac:dyDescent="0.3"/>
    <row r="61" spans="5:9" ht="18" thickBot="1" x14ac:dyDescent="0.3">
      <c r="G61" s="6" t="s">
        <v>85</v>
      </c>
      <c r="H61" s="17"/>
    </row>
    <row r="62" spans="5:9" x14ac:dyDescent="0.25">
      <c r="E62" s="1"/>
      <c r="G62" s="11"/>
      <c r="H62" s="11"/>
    </row>
    <row r="63" spans="5:9" x14ac:dyDescent="0.25">
      <c r="E63" s="1"/>
      <c r="G63" s="11"/>
      <c r="H63" s="11"/>
      <c r="I63" s="11"/>
    </row>
    <row r="64" spans="5:9" x14ac:dyDescent="0.25">
      <c r="E64" s="1"/>
      <c r="G64" s="11"/>
      <c r="H64" s="11"/>
      <c r="I64" s="11"/>
    </row>
  </sheetData>
  <mergeCells count="4">
    <mergeCell ref="A40:M40"/>
    <mergeCell ref="A1:M1"/>
    <mergeCell ref="A11:M11"/>
    <mergeCell ref="A15:M15"/>
  </mergeCells>
  <pageMargins left="0.7" right="0.7" top="0.75" bottom="0.75" header="0.3" footer="0.3"/>
  <pageSetup scale="84" fitToHeight="3" orientation="landscape" r:id="rId1"/>
  <rowBreaks count="2" manualBreakCount="2">
    <brk id="13" max="16383" man="1"/>
    <brk id="38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7e1d9e-ac89-42e2-b2ab-616cc20714e3" xsi:nil="true"/>
    <lcf76f155ced4ddcb4097134ff3c332f xmlns="4def3c0a-76b0-474b-af9a-bec607c5a21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DA91ED0B4D44486C9BD57E53708E9" ma:contentTypeVersion="24" ma:contentTypeDescription="Create a new document." ma:contentTypeScope="" ma:versionID="b689bc769c8ebce8320441836784e92a">
  <xsd:schema xmlns:xsd="http://www.w3.org/2001/XMLSchema" xmlns:xs="http://www.w3.org/2001/XMLSchema" xmlns:p="http://schemas.microsoft.com/office/2006/metadata/properties" xmlns:ns1="http://schemas.microsoft.com/sharepoint/v3" xmlns:ns2="4def3c0a-76b0-474b-af9a-bec607c5a212" xmlns:ns3="317e1d9e-ac89-42e2-b2ab-616cc20714e3" targetNamespace="http://schemas.microsoft.com/office/2006/metadata/properties" ma:root="true" ma:fieldsID="fa8268700dbdb6472cd8f1cdf308c65c" ns1:_="" ns2:_="" ns3:_="">
    <xsd:import namespace="http://schemas.microsoft.com/sharepoint/v3"/>
    <xsd:import namespace="4def3c0a-76b0-474b-af9a-bec607c5a212"/>
    <xsd:import namespace="317e1d9e-ac89-42e2-b2ab-616cc2071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f3c0a-76b0-474b-af9a-bec607c5a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16a427a-858a-487d-80a3-21f23792e0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e1d9e-ac89-42e2-b2ab-616cc2071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1d031c2-2a11-4d19-ae39-80fdc44fb405}" ma:internalName="TaxCatchAll" ma:showField="CatchAllData" ma:web="317e1d9e-ac89-42e2-b2ab-616cc2071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36DDB4-1FE0-4B0D-837B-C1D1F58D8F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E73F4F-0BCD-41AF-9838-BF96EB721BAF}">
  <ds:schemaRefs>
    <ds:schemaRef ds:uri="http://schemas.microsoft.com/office/2006/metadata/properties"/>
    <ds:schemaRef ds:uri="http://schemas.microsoft.com/office/infopath/2007/PartnerControls"/>
    <ds:schemaRef ds:uri="ef62b098-dd26-41b3-8cab-aa39b853c996"/>
    <ds:schemaRef ds:uri="10742c49-d53c-4646-9d45-9dd7c133c604"/>
  </ds:schemaRefs>
</ds:datastoreItem>
</file>

<file path=customXml/itemProps3.xml><?xml version="1.0" encoding="utf-8"?>
<ds:datastoreItem xmlns:ds="http://schemas.openxmlformats.org/officeDocument/2006/customXml" ds:itemID="{9D9A6401-73FE-4E8A-8E9A-8804BFF30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Main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 Dills</dc:creator>
  <cp:keywords/>
  <dc:description/>
  <cp:lastModifiedBy>Carpency, Thienbao N CIV USAF USAFA DF/DFP</cp:lastModifiedBy>
  <cp:revision/>
  <dcterms:created xsi:type="dcterms:W3CDTF">2015-10-08T18:57:26Z</dcterms:created>
  <dcterms:modified xsi:type="dcterms:W3CDTF">2024-09-25T20:16:02Z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0x010100D45DA91ED0B4D44486C9BD57E53708E9</vt:lpwstr>
  </property>
  <property fmtid="{D5CDD505-2E9C-101B-9397-08002B2CF9AE}" pid="3" name="_dlc_DocIdItemGuid">
    <vt:lpwstr>8dea7acb-9499-4e8f-9f82-4c4d18529691</vt:lpwstr>
  </property>
  <property fmtid="{D5CDD505-2E9C-101B-9397-08002B2CF9AE}" pid="4" name="MediaServiceImageTags">
    <vt:lpwstr/>
  </property>
</Properties>
</file>