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01 -- AI Projects\Instructor Slides\"/>
    </mc:Choice>
  </mc:AlternateContent>
  <xr:revisionPtr revIDLastSave="0" documentId="13_ncr:1_{CD8D4ACA-159B-45F9-A838-77B1BD54FE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chedule" sheetId="1" r:id="rId1"/>
    <sheet name="Grade Breakdow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9" i="2"/>
  <c r="D8" i="2"/>
  <c r="D7" i="2"/>
  <c r="D6" i="2"/>
  <c r="D5" i="2"/>
  <c r="D4" i="2"/>
  <c r="D3" i="2"/>
  <c r="D2" i="2"/>
  <c r="D9" i="2" l="1"/>
  <c r="D10" i="2" s="1"/>
  <c r="E3" i="2" l="1"/>
  <c r="E7" i="2"/>
  <c r="C10" i="2"/>
  <c r="E2" i="2"/>
  <c r="B10" i="2"/>
  <c r="E5" i="2"/>
  <c r="E6" i="2"/>
  <c r="E8" i="2"/>
  <c r="E4" i="2"/>
</calcChain>
</file>

<file path=xl/sharedStrings.xml><?xml version="1.0" encoding="utf-8"?>
<sst xmlns="http://schemas.openxmlformats.org/spreadsheetml/2006/main" count="200" uniqueCount="121">
  <si>
    <t>Physics 310  Principles of Nuclear Science Fall 2026 (T3)</t>
  </si>
  <si>
    <t>Lesson</t>
  </si>
  <si>
    <t>Date</t>
  </si>
  <si>
    <t>Topic</t>
  </si>
  <si>
    <t>Reading</t>
  </si>
  <si>
    <t>Videos</t>
  </si>
  <si>
    <t>PF</t>
  </si>
  <si>
    <t>Graded Events</t>
  </si>
  <si>
    <t>Admin Overview</t>
  </si>
  <si>
    <t>Syllabus</t>
  </si>
  <si>
    <t>--</t>
  </si>
  <si>
    <t>x</t>
  </si>
  <si>
    <t>Energy, Atoms, and Nuclei</t>
  </si>
  <si>
    <t>2.1, 2.5, 2.6</t>
  </si>
  <si>
    <t>Nuclear Physics Basics</t>
  </si>
  <si>
    <t>https://www.youtube.com/watch?v=lUhJL7o6_cA&amp;t=36s</t>
  </si>
  <si>
    <t>Binding Energy and Stability</t>
  </si>
  <si>
    <t>2.7, 3.1</t>
  </si>
  <si>
    <t>Binding Energy</t>
  </si>
  <si>
    <t>https://www.youtube.com/watch?v=BYRz_9wvJzA</t>
  </si>
  <si>
    <t>Radioactivity</t>
  </si>
  <si>
    <t>3.2-3.4</t>
  </si>
  <si>
    <t>Nuclear Bomb Basics</t>
  </si>
  <si>
    <t>https://www.youtube.com/watch?v=3p4NteQYhL0&amp;t=316s</t>
  </si>
  <si>
    <t>Lecture: Intro to Weapons Complex (LLNL)</t>
  </si>
  <si>
    <t>Stable/Unstable Nuclei</t>
  </si>
  <si>
    <t>https://www.youtube.com/watch?v=UtZw9jfIxXM</t>
  </si>
  <si>
    <t>Half Life</t>
  </si>
  <si>
    <t>https://www.youtube.com/watch?v=IDkNlU7zKYU</t>
  </si>
  <si>
    <t>Alpha/Beta/Gamma</t>
  </si>
  <si>
    <t>https://www.youtube.com/watch?v=c9WfZJYUWv0</t>
  </si>
  <si>
    <t>Lab 1</t>
  </si>
  <si>
    <t>Decay Equation</t>
  </si>
  <si>
    <t>https://www.youtube.com/watch?v=fOMvJj39eTU</t>
  </si>
  <si>
    <t>HW 1</t>
  </si>
  <si>
    <t>Lecture: Stockpile Stewardship (LANL)</t>
  </si>
  <si>
    <t>Reaction Types, Q-Values</t>
  </si>
  <si>
    <t>https://www.youtube.com/watch?v=XCtdzt8FpQU</t>
  </si>
  <si>
    <t>Nuclear Reactions</t>
  </si>
  <si>
    <t>4.1-4.4</t>
  </si>
  <si>
    <t>Cross Sections</t>
  </si>
  <si>
    <t>https://www.youtube.com/watch?v=R0tdsaFJ4vg</t>
  </si>
  <si>
    <t>Quiz 1</t>
  </si>
  <si>
    <t>Reaction rates, Diffusion (stop around 4:00)</t>
  </si>
  <si>
    <t>https://www.youtube.com/watch?v=1qpEmEdCjC8&amp;t=294s</t>
  </si>
  <si>
    <t>4.5-4.6</t>
  </si>
  <si>
    <t>Moderation (2:28-4:36)</t>
  </si>
  <si>
    <t>https://www.youtube.com/watch?v=WQIsXVHQoa4</t>
  </si>
  <si>
    <t>Neutron Transport</t>
  </si>
  <si>
    <t>Interactions with Matter</t>
  </si>
  <si>
    <t>https://www.youtube.com/watch?v=Ara0eTv02No</t>
  </si>
  <si>
    <t>Comp Day Field Trip</t>
  </si>
  <si>
    <t>Stockpile Stewardship</t>
  </si>
  <si>
    <t>https://www.youtube.com/watch?v=8MmujbPYT80</t>
  </si>
  <si>
    <t>GR1</t>
  </si>
  <si>
    <t>Radiation Interactions with Materials</t>
  </si>
  <si>
    <t>5.1-5.5</t>
  </si>
  <si>
    <t>Bioeffects and Safety</t>
  </si>
  <si>
    <t>5.6, 10.1-10.2, 10.4</t>
  </si>
  <si>
    <t>Dose and Shielding</t>
  </si>
  <si>
    <t>11.1-11.3</t>
  </si>
  <si>
    <t>Lab 2</t>
  </si>
  <si>
    <t>Field Trip (SNL)</t>
  </si>
  <si>
    <t>Detection Methods</t>
  </si>
  <si>
    <t>12.1-12.3</t>
  </si>
  <si>
    <t>Lab 2/HW3</t>
  </si>
  <si>
    <t>Quiz 2</t>
  </si>
  <si>
    <t>12.4-12.6, 12.8</t>
  </si>
  <si>
    <t>Lab 3</t>
  </si>
  <si>
    <t>GR2</t>
  </si>
  <si>
    <t>Lecture: Detection of Weapons Testing (DTRA)</t>
  </si>
  <si>
    <t>Lecture: Detection and Assessment (SNL)</t>
  </si>
  <si>
    <t>Fission: Neutron Multiplication</t>
  </si>
  <si>
    <t>6.1-6.5</t>
  </si>
  <si>
    <t>Fission: Criticality</t>
  </si>
  <si>
    <t>16.1-16.5</t>
  </si>
  <si>
    <t>Fusion</t>
  </si>
  <si>
    <t>7.1-7.2</t>
  </si>
  <si>
    <t>Case Study Work Day</t>
  </si>
  <si>
    <t>Quiz 3</t>
  </si>
  <si>
    <t>Lecture: Intro to Weapons Engineering (LLNL)</t>
  </si>
  <si>
    <t>Lecture: Dr. Yeaw</t>
  </si>
  <si>
    <t>GR3</t>
  </si>
  <si>
    <t>Nuclear Reactors: Basics, Components, Types, Accidents</t>
  </si>
  <si>
    <t>18.1-18.2, 18.4-18.5
21.1-21.2</t>
  </si>
  <si>
    <t>Fuel Cycle: Isotope Separation, Waste</t>
  </si>
  <si>
    <t>15.1-15.4
23.1, 23.5</t>
  </si>
  <si>
    <t>Work day for Group Projects</t>
  </si>
  <si>
    <t xml:space="preserve">Reactor Town Hall </t>
  </si>
  <si>
    <t>Field Trip Triga Reactor Denver</t>
  </si>
  <si>
    <t>Guest Lecture: NIF (LLNL)</t>
  </si>
  <si>
    <t>Lecture: Nuke Policy Dr. Smith INSS</t>
  </si>
  <si>
    <t>Case Study Presentations</t>
  </si>
  <si>
    <t>Team Reflections</t>
  </si>
  <si>
    <t>Quiz 4</t>
  </si>
  <si>
    <t>Final Exam</t>
  </si>
  <si>
    <t>Final</t>
  </si>
  <si>
    <t>Pre-Prog</t>
  </si>
  <si>
    <t>Post-Prog</t>
  </si>
  <si>
    <t>Total</t>
  </si>
  <si>
    <t>Percentage</t>
  </si>
  <si>
    <t>Breakdown</t>
  </si>
  <si>
    <t>Preflights</t>
  </si>
  <si>
    <t>Homework</t>
  </si>
  <si>
    <t>5 assts, 20 points each</t>
  </si>
  <si>
    <t>Quizzes</t>
  </si>
  <si>
    <t>Labs</t>
  </si>
  <si>
    <t>3 labs, 35 points each</t>
  </si>
  <si>
    <t>GR</t>
  </si>
  <si>
    <t>Case Study</t>
  </si>
  <si>
    <t>1 Final, 250 points</t>
  </si>
  <si>
    <t>1 CS, 85 points</t>
  </si>
  <si>
    <t>3 GRs, 100 points each</t>
  </si>
  <si>
    <t>4 quizzes, 25 points each</t>
  </si>
  <si>
    <t>HW5</t>
  </si>
  <si>
    <t>HW4/CS Check-in</t>
  </si>
  <si>
    <t>HW2/CS Proposal</t>
  </si>
  <si>
    <t>20 assts, 3 points each</t>
  </si>
  <si>
    <t>Last Preflight Grade (Prog)</t>
  </si>
  <si>
    <t>Turn In</t>
  </si>
  <si>
    <t>Handout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</si>
</sst>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i/>
      <sz val="9"/>
      <color theme="1"/>
      <name val="Calibri"/>
    </font>
    <font>
      <sz val="11"/>
      <name val="Calibri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theme="0" tint="-0.249977111117893"/>
        <bgColor indexed="65"/>
      </patternFill>
    </fill>
    <fill>
      <patternFill patternType="solid">
        <fgColor rgb="FFFF0000"/>
      </patternFill>
    </fill>
    <fill>
      <patternFill patternType="solid">
        <fgColor theme="0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0" fontId="3" fillId="0" borderId="0" xfId="0" applyFont="1"/>
    <xf numFmtId="0" fontId="0" fillId="0" borderId="0" xfId="0" applyAlignment="1">
      <alignment horizontal="left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3" fillId="0" borderId="7" xfId="0" applyFont="1" applyBorder="1"/>
    <xf numFmtId="0" fontId="3" fillId="6" borderId="1" xfId="0" applyFont="1" applyFill="1" applyBorder="1"/>
    <xf numFmtId="0" fontId="3" fillId="6" borderId="4" xfId="0" applyFont="1" applyFill="1" applyBorder="1" applyAlignment="1">
      <alignment wrapText="1"/>
    </xf>
    <xf numFmtId="0" fontId="3" fillId="6" borderId="4" xfId="0" applyFont="1" applyFill="1" applyBorder="1"/>
    <xf numFmtId="0" fontId="3" fillId="6" borderId="0" xfId="0" applyFont="1" applyFill="1"/>
    <xf numFmtId="0" fontId="0" fillId="0" borderId="4" xfId="0" applyBorder="1"/>
    <xf numFmtId="0" fontId="0" fillId="0" borderId="6" xfId="0" applyBorder="1"/>
    <xf numFmtId="164" fontId="0" fillId="6" borderId="8" xfId="1" applyNumberFormat="1" applyFont="1" applyFill="1" applyBorder="1"/>
    <xf numFmtId="0" fontId="0" fillId="0" borderId="8" xfId="0" applyBorder="1"/>
    <xf numFmtId="164" fontId="0" fillId="6" borderId="4" xfId="1" applyNumberFormat="1" applyFont="1" applyFill="1" applyBorder="1"/>
    <xf numFmtId="164" fontId="0" fillId="6" borderId="9" xfId="1" applyNumberFormat="1" applyFont="1" applyFill="1" applyBorder="1"/>
    <xf numFmtId="0" fontId="0" fillId="0" borderId="9" xfId="0" applyBorder="1"/>
    <xf numFmtId="0" fontId="3" fillId="6" borderId="7" xfId="0" applyFont="1" applyFill="1" applyBorder="1"/>
    <xf numFmtId="0" fontId="0" fillId="6" borderId="1" xfId="0" applyFill="1" applyBorder="1"/>
    <xf numFmtId="164" fontId="0" fillId="6" borderId="1" xfId="1" applyNumberFormat="1" applyFont="1" applyFill="1" applyBorder="1"/>
    <xf numFmtId="9" fontId="0" fillId="6" borderId="1" xfId="1" applyFont="1" applyFill="1" applyBorder="1"/>
    <xf numFmtId="0" fontId="0" fillId="3" borderId="2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6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8" borderId="2" xfId="0" applyFill="1" applyBorder="1" applyAlignment="1">
      <alignment vertical="center"/>
    </xf>
    <xf numFmtId="0" fontId="0" fillId="7" borderId="2" xfId="0" applyFill="1" applyBorder="1" applyAlignment="1">
      <alignment horizontal="left" vertical="center" wrapText="1"/>
    </xf>
    <xf numFmtId="0" fontId="6" fillId="8" borderId="2" xfId="0" applyFont="1" applyFill="1" applyBorder="1" applyAlignment="1">
      <alignment vertical="center" wrapText="1"/>
    </xf>
    <xf numFmtId="0" fontId="6" fillId="8" borderId="2" xfId="0" applyFont="1" applyFill="1" applyBorder="1" applyAlignment="1">
      <alignment vertical="center"/>
    </xf>
    <xf numFmtId="0" fontId="0" fillId="5" borderId="2" xfId="0" applyFill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9" borderId="2" xfId="0" applyFill="1" applyBorder="1" applyAlignment="1">
      <alignment vertical="center" wrapText="1"/>
    </xf>
    <xf numFmtId="16" fontId="0" fillId="0" borderId="10" xfId="0" applyNumberForma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4" fillId="0" borderId="2" xfId="2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4" fillId="0" borderId="2" xfId="2" applyBorder="1"/>
    <xf numFmtId="0" fontId="5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7" borderId="2" xfId="0" applyFill="1" applyBorder="1" applyAlignment="1">
      <alignment vertical="center"/>
    </xf>
    <xf numFmtId="0" fontId="0" fillId="0" borderId="5" xfId="0" applyBorder="1" applyAlignment="1">
      <alignment horizontal="left"/>
    </xf>
    <xf numFmtId="0" fontId="7" fillId="0" borderId="2" xfId="0" applyFont="1" applyBorder="1" applyAlignment="1">
      <alignment horizontal="center" vertical="center" wrapText="1"/>
    </xf>
    <xf numFmtId="0" fontId="7" fillId="11" borderId="2" xfId="0" applyFont="1" applyFill="1" applyBorder="1" applyAlignment="1">
      <alignment vertical="center"/>
    </xf>
    <xf numFmtId="0" fontId="7" fillId="8" borderId="2" xfId="0" applyFont="1" applyFill="1" applyBorder="1" applyAlignment="1">
      <alignment vertical="center" wrapText="1"/>
    </xf>
    <xf numFmtId="0" fontId="0" fillId="11" borderId="2" xfId="0" applyFill="1" applyBorder="1" applyAlignment="1">
      <alignment vertical="center" wrapText="1"/>
    </xf>
    <xf numFmtId="0" fontId="7" fillId="3" borderId="2" xfId="0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9" borderId="2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12" borderId="3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left" vertical="center"/>
    </xf>
  </cellXfs>
  <cellStyles count="3">
    <cellStyle name="Hyperlink" xfId="2" xr:uid="{00000000-0005-0000-0000-000000000000}"/>
    <cellStyle name="Normal" xfId="0" builtinId="0"/>
    <cellStyle name="Percen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1qpEmEdCjC8&amp;t=294s" TargetMode="External"/><Relationship Id="rId13" Type="http://schemas.openxmlformats.org/officeDocument/2006/relationships/hyperlink" Target="https://www.youtube.com/watch?v=fOMvJj39eTU" TargetMode="External"/><Relationship Id="rId3" Type="http://schemas.openxmlformats.org/officeDocument/2006/relationships/hyperlink" Target="https://www.youtube.com/watch?v=UtZw9jfIxXM" TargetMode="External"/><Relationship Id="rId7" Type="http://schemas.openxmlformats.org/officeDocument/2006/relationships/hyperlink" Target="https://www.youtube.com/watch?v=R0tdsaFJ4vg" TargetMode="External"/><Relationship Id="rId12" Type="http://schemas.openxmlformats.org/officeDocument/2006/relationships/hyperlink" Target="https://www.youtube.com/watch?v=3p4NteQYhL0&amp;t=316s" TargetMode="External"/><Relationship Id="rId2" Type="http://schemas.openxmlformats.org/officeDocument/2006/relationships/hyperlink" Target="https://www.youtube.com/watch?v=BYRz_9wvJzA" TargetMode="External"/><Relationship Id="rId1" Type="http://schemas.openxmlformats.org/officeDocument/2006/relationships/hyperlink" Target="https://www.youtube.com/watch?v=lUhJL7o6_cA&amp;t=36s" TargetMode="External"/><Relationship Id="rId6" Type="http://schemas.openxmlformats.org/officeDocument/2006/relationships/hyperlink" Target="https://www.youtube.com/watch?v=XCtdzt8FpQU" TargetMode="External"/><Relationship Id="rId11" Type="http://schemas.openxmlformats.org/officeDocument/2006/relationships/hyperlink" Target="https://www.youtube.com/watch?v=8MmujbPYT80" TargetMode="External"/><Relationship Id="rId5" Type="http://schemas.openxmlformats.org/officeDocument/2006/relationships/hyperlink" Target="https://www.youtube.com/watch?v=c9WfZJYUWv0" TargetMode="External"/><Relationship Id="rId10" Type="http://schemas.openxmlformats.org/officeDocument/2006/relationships/hyperlink" Target="https://www.youtube.com/watch?v=Ara0eTv02No" TargetMode="External"/><Relationship Id="rId4" Type="http://schemas.openxmlformats.org/officeDocument/2006/relationships/hyperlink" Target="https://www.youtube.com/watch?v=IDkNlU7zKYU" TargetMode="External"/><Relationship Id="rId9" Type="http://schemas.openxmlformats.org/officeDocument/2006/relationships/hyperlink" Target="https://www.youtube.com/watch?v=WQIsXVHQoa4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1"/>
  <sheetViews>
    <sheetView tabSelected="1" topLeftCell="A2" zoomScaleNormal="100" workbookViewId="0">
      <selection activeCell="F17" sqref="F17"/>
    </sheetView>
  </sheetViews>
  <sheetFormatPr defaultRowHeight="15" x14ac:dyDescent="0.25"/>
  <cols>
    <col min="1" max="1" width="10.7109375" style="5" customWidth="1"/>
    <col min="2" max="2" width="10.7109375" style="43" customWidth="1"/>
    <col min="3" max="3" width="51.85546875" customWidth="1"/>
    <col min="4" max="4" width="19.7109375" style="5" customWidth="1"/>
    <col min="5" max="5" width="33.28515625" style="5" customWidth="1"/>
    <col min="6" max="6" width="50.85546875" style="5" customWidth="1"/>
    <col min="7" max="7" width="5.7109375" style="43" customWidth="1"/>
    <col min="8" max="8" width="17.7109375" style="43" customWidth="1"/>
    <col min="9" max="9" width="11.28515625" style="43" customWidth="1"/>
  </cols>
  <sheetData>
    <row r="1" spans="1:14" ht="16.5" thickBot="1" x14ac:dyDescent="0.3">
      <c r="A1" s="65" t="s">
        <v>0</v>
      </c>
      <c r="B1" s="66"/>
      <c r="C1" s="66"/>
      <c r="D1" s="66"/>
      <c r="E1" s="66"/>
      <c r="F1" s="66"/>
      <c r="G1" s="66"/>
      <c r="H1" s="66"/>
      <c r="I1" s="66"/>
    </row>
    <row r="2" spans="1:14" ht="38.25" customHeight="1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67" t="s">
        <v>5</v>
      </c>
      <c r="F2" s="67"/>
      <c r="G2" s="1" t="s">
        <v>6</v>
      </c>
      <c r="H2" s="42" t="s">
        <v>119</v>
      </c>
      <c r="I2" s="30" t="s">
        <v>7</v>
      </c>
    </row>
    <row r="3" spans="1:14" ht="15" customHeight="1" x14ac:dyDescent="0.25">
      <c r="A3" s="62">
        <v>1</v>
      </c>
      <c r="B3" s="31">
        <v>46241</v>
      </c>
      <c r="C3" s="11" t="s">
        <v>8</v>
      </c>
      <c r="D3" s="39" t="s">
        <v>9</v>
      </c>
      <c r="E3" s="39" t="s">
        <v>10</v>
      </c>
      <c r="F3" s="39" t="s">
        <v>10</v>
      </c>
      <c r="G3" s="62" t="s">
        <v>11</v>
      </c>
      <c r="H3" s="39"/>
      <c r="I3" s="39"/>
    </row>
    <row r="4" spans="1:14" ht="15" customHeight="1" x14ac:dyDescent="0.25">
      <c r="A4" s="63">
        <v>2</v>
      </c>
      <c r="B4" s="3">
        <v>46245</v>
      </c>
      <c r="C4" s="58" t="s">
        <v>12</v>
      </c>
      <c r="D4" s="2" t="s">
        <v>13</v>
      </c>
      <c r="E4" s="68" t="s">
        <v>14</v>
      </c>
      <c r="F4" s="46" t="s">
        <v>15</v>
      </c>
      <c r="G4" s="63" t="s">
        <v>11</v>
      </c>
      <c r="H4" s="2"/>
      <c r="I4" s="2"/>
    </row>
    <row r="5" spans="1:14" ht="15" customHeight="1" x14ac:dyDescent="0.25">
      <c r="A5" s="2">
        <v>3</v>
      </c>
      <c r="B5" s="3">
        <v>46247</v>
      </c>
      <c r="C5" s="12" t="s">
        <v>16</v>
      </c>
      <c r="D5" s="2" t="s">
        <v>17</v>
      </c>
      <c r="E5" s="68" t="s">
        <v>18</v>
      </c>
      <c r="F5" s="46" t="s">
        <v>19</v>
      </c>
      <c r="G5" s="2" t="s">
        <v>11</v>
      </c>
      <c r="H5" s="2"/>
      <c r="I5" s="2"/>
    </row>
    <row r="6" spans="1:14" ht="15" customHeight="1" x14ac:dyDescent="0.25">
      <c r="A6" s="2">
        <v>4</v>
      </c>
      <c r="B6" s="3">
        <v>46251</v>
      </c>
      <c r="C6" s="32" t="s">
        <v>20</v>
      </c>
      <c r="D6" s="2" t="s">
        <v>21</v>
      </c>
      <c r="E6" s="68" t="s">
        <v>25</v>
      </c>
      <c r="F6" s="46" t="s">
        <v>26</v>
      </c>
      <c r="G6" s="2" t="s">
        <v>11</v>
      </c>
      <c r="H6" s="2"/>
      <c r="I6" s="2"/>
    </row>
    <row r="7" spans="1:14" ht="15" customHeight="1" x14ac:dyDescent="0.25">
      <c r="A7" s="2">
        <v>5</v>
      </c>
      <c r="B7" s="3">
        <v>46253</v>
      </c>
      <c r="C7" s="61" t="s">
        <v>24</v>
      </c>
      <c r="D7" s="2" t="s">
        <v>10</v>
      </c>
      <c r="E7" s="68" t="s">
        <v>22</v>
      </c>
      <c r="F7" s="46" t="s">
        <v>23</v>
      </c>
      <c r="G7" s="2" t="s">
        <v>10</v>
      </c>
      <c r="H7" s="47"/>
      <c r="I7" s="47"/>
    </row>
    <row r="8" spans="1:14" ht="15" customHeight="1" x14ac:dyDescent="0.25">
      <c r="A8" s="2">
        <v>6</v>
      </c>
      <c r="B8" s="3">
        <v>46255</v>
      </c>
      <c r="C8" s="6" t="s">
        <v>31</v>
      </c>
      <c r="D8" s="47">
        <v>3.5</v>
      </c>
      <c r="E8" s="68" t="s">
        <v>27</v>
      </c>
      <c r="F8" s="46" t="s">
        <v>28</v>
      </c>
      <c r="G8" s="2" t="s">
        <v>11</v>
      </c>
      <c r="H8" s="63" t="s">
        <v>34</v>
      </c>
      <c r="I8" s="2"/>
      <c r="M8" s="45" t="s">
        <v>32</v>
      </c>
      <c r="N8" s="48" t="s">
        <v>33</v>
      </c>
    </row>
    <row r="9" spans="1:14" ht="15" customHeight="1" x14ac:dyDescent="0.25">
      <c r="A9" s="2">
        <v>7</v>
      </c>
      <c r="B9" s="3">
        <v>46259</v>
      </c>
      <c r="C9" s="29" t="s">
        <v>35</v>
      </c>
      <c r="D9" s="2" t="s">
        <v>120</v>
      </c>
      <c r="E9" s="68" t="s">
        <v>52</v>
      </c>
      <c r="F9" s="46" t="s">
        <v>53</v>
      </c>
      <c r="G9" s="2" t="s">
        <v>10</v>
      </c>
      <c r="H9" s="2" t="s">
        <v>31</v>
      </c>
      <c r="I9" s="2"/>
      <c r="M9" s="45" t="s">
        <v>36</v>
      </c>
      <c r="N9" s="46" t="s">
        <v>37</v>
      </c>
    </row>
    <row r="10" spans="1:14" ht="15" customHeight="1" x14ac:dyDescent="0.25">
      <c r="A10" s="2">
        <v>8</v>
      </c>
      <c r="B10" s="3">
        <v>46261</v>
      </c>
      <c r="C10" s="32" t="s">
        <v>38</v>
      </c>
      <c r="D10" s="2" t="s">
        <v>39</v>
      </c>
      <c r="E10" s="49" t="s">
        <v>43</v>
      </c>
      <c r="F10" s="46" t="s">
        <v>44</v>
      </c>
      <c r="G10" s="2" t="s">
        <v>11</v>
      </c>
      <c r="H10" s="12"/>
      <c r="I10" s="2" t="s">
        <v>42</v>
      </c>
    </row>
    <row r="11" spans="1:14" ht="15" customHeight="1" x14ac:dyDescent="0.25">
      <c r="A11" s="2">
        <v>9</v>
      </c>
      <c r="B11" s="3">
        <v>46265</v>
      </c>
      <c r="C11" s="12" t="s">
        <v>40</v>
      </c>
      <c r="D11" s="2" t="s">
        <v>45</v>
      </c>
      <c r="E11" s="45" t="s">
        <v>40</v>
      </c>
      <c r="F11" s="46" t="s">
        <v>41</v>
      </c>
      <c r="G11" s="2" t="s">
        <v>11</v>
      </c>
      <c r="H11" s="2"/>
      <c r="I11" s="2"/>
    </row>
    <row r="12" spans="1:14" ht="15" customHeight="1" x14ac:dyDescent="0.25">
      <c r="A12" s="2">
        <v>10</v>
      </c>
      <c r="B12" s="3">
        <v>46267</v>
      </c>
      <c r="C12" s="12" t="s">
        <v>48</v>
      </c>
      <c r="D12" s="2">
        <v>4.7</v>
      </c>
      <c r="E12" s="45" t="s">
        <v>49</v>
      </c>
      <c r="F12" s="46" t="s">
        <v>50</v>
      </c>
      <c r="G12" s="2" t="s">
        <v>11</v>
      </c>
      <c r="H12" s="2"/>
      <c r="I12" s="2"/>
    </row>
    <row r="13" spans="1:14" ht="15" customHeight="1" x14ac:dyDescent="0.25">
      <c r="A13" s="2">
        <v>11</v>
      </c>
      <c r="B13" s="3">
        <v>46269</v>
      </c>
      <c r="C13" s="40" t="s">
        <v>51</v>
      </c>
      <c r="D13" s="2" t="s">
        <v>10</v>
      </c>
      <c r="E13" s="45" t="s">
        <v>29</v>
      </c>
      <c r="F13" s="46" t="s">
        <v>30</v>
      </c>
      <c r="G13" s="2" t="s">
        <v>10</v>
      </c>
      <c r="H13" s="64" t="s">
        <v>116</v>
      </c>
      <c r="I13" s="2"/>
    </row>
    <row r="14" spans="1:14" ht="15" customHeight="1" x14ac:dyDescent="0.25">
      <c r="A14" s="2">
        <v>12</v>
      </c>
      <c r="B14" s="3">
        <v>46274</v>
      </c>
      <c r="C14" s="4" t="s">
        <v>54</v>
      </c>
      <c r="D14" s="2" t="s">
        <v>10</v>
      </c>
      <c r="E14" s="2"/>
      <c r="F14" s="2"/>
      <c r="G14" s="2" t="s">
        <v>10</v>
      </c>
      <c r="H14" s="2"/>
      <c r="I14" s="2" t="s">
        <v>54</v>
      </c>
    </row>
    <row r="15" spans="1:14" ht="15" customHeight="1" x14ac:dyDescent="0.25">
      <c r="A15" s="2">
        <v>13</v>
      </c>
      <c r="B15" s="3">
        <v>46279</v>
      </c>
      <c r="C15" s="35" t="s">
        <v>55</v>
      </c>
      <c r="D15" s="2" t="s">
        <v>56</v>
      </c>
      <c r="E15" s="2"/>
      <c r="F15" s="2"/>
      <c r="G15" s="2" t="s">
        <v>11</v>
      </c>
      <c r="H15" s="2"/>
      <c r="I15" s="2"/>
    </row>
    <row r="16" spans="1:14" ht="15" customHeight="1" x14ac:dyDescent="0.25">
      <c r="A16" s="2">
        <v>14</v>
      </c>
      <c r="B16" s="3">
        <v>46281</v>
      </c>
      <c r="C16" s="33" t="s">
        <v>57</v>
      </c>
      <c r="D16" s="2" t="s">
        <v>58</v>
      </c>
      <c r="E16" s="2"/>
      <c r="F16" s="2"/>
      <c r="G16" s="2" t="s">
        <v>11</v>
      </c>
      <c r="H16" s="2"/>
      <c r="I16" s="2"/>
    </row>
    <row r="17" spans="1:11" ht="15" customHeight="1" x14ac:dyDescent="0.25">
      <c r="A17" s="2">
        <v>15</v>
      </c>
      <c r="B17" s="3">
        <v>46286</v>
      </c>
      <c r="C17" s="36" t="s">
        <v>59</v>
      </c>
      <c r="D17" s="2" t="s">
        <v>60</v>
      </c>
      <c r="E17" s="2"/>
      <c r="F17" s="2"/>
      <c r="G17" s="2" t="s">
        <v>11</v>
      </c>
      <c r="H17" s="2"/>
      <c r="I17" s="2"/>
    </row>
    <row r="18" spans="1:11" ht="15" customHeight="1" x14ac:dyDescent="0.25">
      <c r="A18" s="2">
        <v>16</v>
      </c>
      <c r="B18" s="3">
        <v>46288</v>
      </c>
      <c r="C18" s="6" t="s">
        <v>61</v>
      </c>
      <c r="D18" s="50" t="s">
        <v>10</v>
      </c>
      <c r="E18" s="2"/>
      <c r="F18" s="2"/>
      <c r="G18" s="2" t="s">
        <v>11</v>
      </c>
      <c r="H18" s="2"/>
      <c r="I18" s="2"/>
    </row>
    <row r="19" spans="1:11" ht="15" customHeight="1" x14ac:dyDescent="0.25">
      <c r="A19" s="2">
        <v>17</v>
      </c>
      <c r="B19" s="3">
        <v>46290</v>
      </c>
      <c r="C19" s="34" t="s">
        <v>62</v>
      </c>
      <c r="D19" s="50" t="s">
        <v>10</v>
      </c>
      <c r="E19" s="2"/>
      <c r="F19" s="2"/>
      <c r="G19" s="2" t="s">
        <v>10</v>
      </c>
      <c r="H19" s="2"/>
      <c r="I19" s="2"/>
    </row>
    <row r="20" spans="1:11" ht="15" customHeight="1" x14ac:dyDescent="0.25">
      <c r="A20" s="2">
        <v>18</v>
      </c>
      <c r="B20" s="3">
        <v>46294</v>
      </c>
      <c r="C20" s="33" t="s">
        <v>63</v>
      </c>
      <c r="D20" s="2" t="s">
        <v>64</v>
      </c>
      <c r="E20" s="2"/>
      <c r="F20" s="2"/>
      <c r="G20" s="2" t="s">
        <v>11</v>
      </c>
      <c r="H20" s="2" t="s">
        <v>65</v>
      </c>
      <c r="I20" s="2" t="s">
        <v>66</v>
      </c>
      <c r="K20" s="60" t="s">
        <v>118</v>
      </c>
    </row>
    <row r="21" spans="1:11" ht="15" customHeight="1" x14ac:dyDescent="0.25">
      <c r="A21" s="2">
        <v>19</v>
      </c>
      <c r="B21" s="3">
        <v>46296</v>
      </c>
      <c r="C21" s="33" t="s">
        <v>63</v>
      </c>
      <c r="D21" s="2" t="s">
        <v>67</v>
      </c>
      <c r="E21" s="2"/>
      <c r="F21" s="2"/>
      <c r="G21" s="2" t="s">
        <v>11</v>
      </c>
      <c r="H21" s="2"/>
      <c r="I21" s="2"/>
    </row>
    <row r="22" spans="1:11" ht="15" customHeight="1" x14ac:dyDescent="0.25">
      <c r="A22" s="2">
        <v>20</v>
      </c>
      <c r="B22" s="3">
        <v>46300</v>
      </c>
      <c r="C22" s="37" t="s">
        <v>68</v>
      </c>
      <c r="D22" s="2" t="s">
        <v>10</v>
      </c>
      <c r="E22" s="2"/>
      <c r="F22" s="2"/>
      <c r="G22" s="2" t="s">
        <v>11</v>
      </c>
      <c r="H22" s="2"/>
      <c r="I22" s="2"/>
    </row>
    <row r="23" spans="1:11" ht="15" customHeight="1" x14ac:dyDescent="0.25">
      <c r="A23" s="2">
        <v>21</v>
      </c>
      <c r="B23" s="3">
        <v>46302</v>
      </c>
      <c r="C23" s="4" t="s">
        <v>69</v>
      </c>
      <c r="D23" s="2" t="s">
        <v>10</v>
      </c>
      <c r="E23" s="2"/>
      <c r="F23" s="2"/>
      <c r="G23" s="2" t="s">
        <v>10</v>
      </c>
      <c r="H23" s="2" t="s">
        <v>68</v>
      </c>
      <c r="I23" s="2" t="s">
        <v>69</v>
      </c>
    </row>
    <row r="24" spans="1:11" ht="15" customHeight="1" x14ac:dyDescent="0.25">
      <c r="A24" s="2">
        <v>22</v>
      </c>
      <c r="B24" s="3">
        <v>46304</v>
      </c>
      <c r="C24" s="54" t="s">
        <v>70</v>
      </c>
      <c r="D24" s="2" t="s">
        <v>10</v>
      </c>
      <c r="E24" s="2"/>
      <c r="F24" s="2"/>
      <c r="G24" s="2" t="s">
        <v>10</v>
      </c>
      <c r="H24" s="2"/>
      <c r="I24" s="2"/>
    </row>
    <row r="25" spans="1:11" ht="15" customHeight="1" x14ac:dyDescent="0.25">
      <c r="A25" s="2">
        <v>23</v>
      </c>
      <c r="B25" s="3">
        <v>46309</v>
      </c>
      <c r="C25" s="56" t="s">
        <v>71</v>
      </c>
      <c r="D25" s="2" t="s">
        <v>10</v>
      </c>
      <c r="E25" s="2"/>
      <c r="F25" s="2"/>
      <c r="G25" s="2" t="s">
        <v>10</v>
      </c>
      <c r="H25" s="2"/>
      <c r="I25" s="2"/>
    </row>
    <row r="26" spans="1:11" ht="15" customHeight="1" x14ac:dyDescent="0.25">
      <c r="A26" s="2">
        <v>24</v>
      </c>
      <c r="B26" s="3">
        <v>46311</v>
      </c>
      <c r="C26" s="55" t="s">
        <v>72</v>
      </c>
      <c r="D26" s="2" t="s">
        <v>73</v>
      </c>
      <c r="E26" s="45" t="s">
        <v>46</v>
      </c>
      <c r="F26" s="46" t="s">
        <v>47</v>
      </c>
      <c r="G26" s="2" t="s">
        <v>11</v>
      </c>
      <c r="H26" s="2"/>
      <c r="I26" s="2"/>
    </row>
    <row r="27" spans="1:11" ht="15" customHeight="1" x14ac:dyDescent="0.25">
      <c r="A27" s="2">
        <v>25</v>
      </c>
      <c r="B27" s="3">
        <v>46315</v>
      </c>
      <c r="C27" s="12" t="s">
        <v>74</v>
      </c>
      <c r="D27" s="2" t="s">
        <v>75</v>
      </c>
      <c r="G27" s="2" t="s">
        <v>11</v>
      </c>
      <c r="H27" s="2"/>
      <c r="I27" s="2"/>
    </row>
    <row r="28" spans="1:11" ht="15" customHeight="1" x14ac:dyDescent="0.25">
      <c r="A28" s="2">
        <v>26</v>
      </c>
      <c r="B28" s="3">
        <v>46317</v>
      </c>
      <c r="C28" s="33" t="s">
        <v>76</v>
      </c>
      <c r="D28" s="2" t="s">
        <v>77</v>
      </c>
      <c r="E28" s="2"/>
      <c r="F28" s="2"/>
      <c r="G28" s="2" t="s">
        <v>11</v>
      </c>
      <c r="H28" s="2"/>
      <c r="I28" s="2"/>
    </row>
    <row r="29" spans="1:11" ht="15" customHeight="1" x14ac:dyDescent="0.25">
      <c r="A29" s="2">
        <v>27</v>
      </c>
      <c r="B29" s="3">
        <v>46321</v>
      </c>
      <c r="C29" s="40" t="s">
        <v>78</v>
      </c>
      <c r="D29" s="2" t="s">
        <v>10</v>
      </c>
      <c r="E29" s="2"/>
      <c r="F29" s="2"/>
      <c r="G29" s="2" t="s">
        <v>10</v>
      </c>
      <c r="H29" s="63" t="s">
        <v>115</v>
      </c>
      <c r="I29" s="2" t="s">
        <v>79</v>
      </c>
    </row>
    <row r="30" spans="1:11" ht="15" customHeight="1" x14ac:dyDescent="0.25">
      <c r="A30" s="2">
        <v>28</v>
      </c>
      <c r="B30" s="3">
        <v>46323</v>
      </c>
      <c r="C30" s="8" t="s">
        <v>80</v>
      </c>
      <c r="D30" s="2" t="s">
        <v>10</v>
      </c>
      <c r="E30" s="2"/>
      <c r="F30" s="2"/>
      <c r="G30" s="2" t="s">
        <v>10</v>
      </c>
      <c r="H30" s="2"/>
      <c r="I30" s="2"/>
    </row>
    <row r="31" spans="1:11" ht="15" customHeight="1" x14ac:dyDescent="0.25">
      <c r="A31" s="2">
        <v>29</v>
      </c>
      <c r="B31" s="3">
        <v>46325</v>
      </c>
      <c r="C31" s="57" t="s">
        <v>81</v>
      </c>
      <c r="D31" s="2" t="s">
        <v>10</v>
      </c>
      <c r="E31" s="2"/>
      <c r="F31" s="2"/>
      <c r="G31" s="2" t="s">
        <v>10</v>
      </c>
      <c r="H31" s="2"/>
      <c r="I31" s="2"/>
    </row>
    <row r="32" spans="1:11" ht="15" customHeight="1" x14ac:dyDescent="0.25">
      <c r="A32" s="2">
        <v>30</v>
      </c>
      <c r="B32" s="3">
        <v>46329</v>
      </c>
      <c r="C32" s="4" t="s">
        <v>82</v>
      </c>
      <c r="D32" s="2" t="s">
        <v>10</v>
      </c>
      <c r="E32" s="2"/>
      <c r="F32" s="2"/>
      <c r="G32" s="2"/>
      <c r="H32" s="2"/>
      <c r="I32" s="2" t="s">
        <v>82</v>
      </c>
    </row>
    <row r="33" spans="1:9" ht="30" customHeight="1" x14ac:dyDescent="0.25">
      <c r="A33" s="2">
        <v>31</v>
      </c>
      <c r="B33" s="3">
        <v>46331</v>
      </c>
      <c r="C33" s="12" t="s">
        <v>83</v>
      </c>
      <c r="D33" s="53" t="s">
        <v>84</v>
      </c>
      <c r="E33" s="47"/>
      <c r="F33" s="47"/>
      <c r="G33" s="2" t="s">
        <v>11</v>
      </c>
      <c r="H33" s="2"/>
      <c r="I33" s="2"/>
    </row>
    <row r="34" spans="1:9" ht="30" customHeight="1" x14ac:dyDescent="0.25">
      <c r="A34" s="2">
        <v>32</v>
      </c>
      <c r="B34" s="3">
        <v>46335</v>
      </c>
      <c r="C34" s="12" t="s">
        <v>85</v>
      </c>
      <c r="D34" s="47" t="s">
        <v>86</v>
      </c>
      <c r="E34" s="47"/>
      <c r="F34" s="47"/>
      <c r="G34" s="2" t="s">
        <v>11</v>
      </c>
      <c r="H34" s="2"/>
      <c r="I34" s="2"/>
    </row>
    <row r="35" spans="1:9" ht="15" customHeight="1" x14ac:dyDescent="0.25">
      <c r="A35" s="2">
        <v>33</v>
      </c>
      <c r="B35" s="3">
        <v>46338</v>
      </c>
      <c r="C35" s="59" t="s">
        <v>87</v>
      </c>
      <c r="D35" s="2" t="s">
        <v>10</v>
      </c>
      <c r="E35" s="2"/>
      <c r="F35" s="2"/>
      <c r="G35" s="2" t="s">
        <v>10</v>
      </c>
      <c r="H35" s="2"/>
      <c r="I35" s="2"/>
    </row>
    <row r="36" spans="1:9" ht="15" customHeight="1" x14ac:dyDescent="0.25">
      <c r="A36" s="2">
        <v>34</v>
      </c>
      <c r="B36" s="3">
        <v>46342</v>
      </c>
      <c r="C36" s="6" t="s">
        <v>88</v>
      </c>
      <c r="D36" s="2" t="s">
        <v>10</v>
      </c>
      <c r="E36" s="2"/>
      <c r="F36" s="2"/>
      <c r="G36" s="2" t="s">
        <v>10</v>
      </c>
      <c r="H36" s="63" t="s">
        <v>114</v>
      </c>
      <c r="I36" s="2"/>
    </row>
    <row r="37" spans="1:9" ht="15" customHeight="1" x14ac:dyDescent="0.25">
      <c r="A37" s="2">
        <v>35</v>
      </c>
      <c r="B37" s="3">
        <v>46344</v>
      </c>
      <c r="C37" s="51" t="s">
        <v>89</v>
      </c>
      <c r="D37" s="2" t="s">
        <v>10</v>
      </c>
      <c r="E37" s="2"/>
      <c r="F37" s="2"/>
      <c r="G37" s="2" t="s">
        <v>10</v>
      </c>
      <c r="H37" s="2"/>
      <c r="I37" s="2"/>
    </row>
    <row r="38" spans="1:9" ht="15" customHeight="1" x14ac:dyDescent="0.25">
      <c r="A38" s="2">
        <v>36</v>
      </c>
      <c r="B38" s="3">
        <v>46346</v>
      </c>
      <c r="C38" s="29" t="s">
        <v>90</v>
      </c>
      <c r="D38" s="2" t="s">
        <v>10</v>
      </c>
      <c r="E38" s="2"/>
      <c r="F38" s="2"/>
      <c r="G38" s="2" t="s">
        <v>10</v>
      </c>
      <c r="H38" s="2"/>
      <c r="I38" s="2"/>
    </row>
    <row r="39" spans="1:9" ht="15" customHeight="1" x14ac:dyDescent="0.25">
      <c r="A39" s="2">
        <v>37</v>
      </c>
      <c r="B39" s="3">
        <v>46350</v>
      </c>
      <c r="C39" s="29" t="s">
        <v>91</v>
      </c>
      <c r="D39" s="2" t="s">
        <v>10</v>
      </c>
      <c r="E39" s="2"/>
      <c r="F39" s="2"/>
      <c r="G39" s="2" t="s">
        <v>10</v>
      </c>
      <c r="H39" s="2"/>
      <c r="I39" s="2"/>
    </row>
    <row r="40" spans="1:9" ht="15" customHeight="1" x14ac:dyDescent="0.25">
      <c r="A40" s="2">
        <v>38</v>
      </c>
      <c r="B40" s="3">
        <v>46358</v>
      </c>
      <c r="C40" s="6" t="s">
        <v>92</v>
      </c>
      <c r="D40" s="2" t="s">
        <v>10</v>
      </c>
      <c r="E40" s="2"/>
      <c r="F40" s="2"/>
      <c r="G40" s="2" t="s">
        <v>10</v>
      </c>
      <c r="H40" s="63" t="s">
        <v>93</v>
      </c>
      <c r="I40" s="2" t="s">
        <v>94</v>
      </c>
    </row>
    <row r="41" spans="1:9" ht="15" customHeight="1" x14ac:dyDescent="0.25">
      <c r="A41" s="2">
        <v>39</v>
      </c>
      <c r="B41" s="3">
        <v>46360</v>
      </c>
      <c r="C41" s="6" t="s">
        <v>92</v>
      </c>
      <c r="D41" s="2" t="s">
        <v>10</v>
      </c>
      <c r="E41" s="2"/>
      <c r="F41" s="2"/>
      <c r="G41" s="2" t="s">
        <v>10</v>
      </c>
      <c r="H41" s="2"/>
      <c r="I41" s="2"/>
    </row>
    <row r="42" spans="1:9" ht="15" customHeight="1" x14ac:dyDescent="0.25">
      <c r="A42" s="2">
        <v>40</v>
      </c>
      <c r="B42" s="3">
        <v>46364</v>
      </c>
      <c r="C42" s="6" t="s">
        <v>92</v>
      </c>
      <c r="D42" s="2" t="s">
        <v>10</v>
      </c>
      <c r="E42" s="2"/>
      <c r="F42" s="2"/>
      <c r="G42" s="2" t="s">
        <v>10</v>
      </c>
      <c r="H42" s="2"/>
      <c r="I42" s="2"/>
    </row>
    <row r="43" spans="1:9" ht="15" customHeight="1" x14ac:dyDescent="0.25">
      <c r="A43" s="38">
        <v>41</v>
      </c>
      <c r="B43" s="41">
        <v>46366</v>
      </c>
      <c r="C43" s="6" t="s">
        <v>92</v>
      </c>
      <c r="D43" s="2" t="s">
        <v>10</v>
      </c>
      <c r="E43" s="38"/>
      <c r="F43" s="38"/>
      <c r="G43" s="2" t="s">
        <v>10</v>
      </c>
      <c r="H43" s="38"/>
      <c r="I43" s="38"/>
    </row>
    <row r="44" spans="1:9" ht="15" customHeight="1" thickBot="1" x14ac:dyDescent="0.3">
      <c r="A44" s="44" t="s">
        <v>10</v>
      </c>
      <c r="B44" s="7"/>
      <c r="C44" s="52" t="s">
        <v>95</v>
      </c>
      <c r="D44" s="44" t="s">
        <v>10</v>
      </c>
      <c r="E44" s="44" t="s">
        <v>10</v>
      </c>
      <c r="F44" s="44"/>
      <c r="G44" s="7" t="s">
        <v>10</v>
      </c>
      <c r="H44" s="7"/>
      <c r="I44" s="7" t="s">
        <v>96</v>
      </c>
    </row>
    <row r="55" spans="3:6" ht="15.75" x14ac:dyDescent="0.25">
      <c r="C55" s="9"/>
    </row>
    <row r="57" spans="3:6" x14ac:dyDescent="0.25">
      <c r="C57" s="10"/>
    </row>
    <row r="59" spans="3:6" x14ac:dyDescent="0.25">
      <c r="D59"/>
      <c r="E59"/>
      <c r="F59"/>
    </row>
    <row r="81" spans="3:3" ht="15.75" x14ac:dyDescent="0.25">
      <c r="C81" s="9"/>
    </row>
  </sheetData>
  <mergeCells count="2">
    <mergeCell ref="A1:I1"/>
    <mergeCell ref="E2:F2"/>
  </mergeCells>
  <hyperlinks>
    <hyperlink ref="F4" r:id="rId1" xr:uid="{00000000-0004-0000-0000-000000000000}"/>
    <hyperlink ref="F5" r:id="rId2" xr:uid="{00000000-0004-0000-0000-000001000000}"/>
    <hyperlink ref="F6" r:id="rId3" xr:uid="{00000000-0004-0000-0000-000003000000}"/>
    <hyperlink ref="F8" r:id="rId4" xr:uid="{00000000-0004-0000-0000-000004000000}"/>
    <hyperlink ref="F13" r:id="rId5" xr:uid="{00000000-0004-0000-0000-000005000000}"/>
    <hyperlink ref="N9" r:id="rId6" xr:uid="{00000000-0004-0000-0000-000007000000}"/>
    <hyperlink ref="F11" r:id="rId7" xr:uid="{00000000-0004-0000-0000-000008000000}"/>
    <hyperlink ref="F10" r:id="rId8" xr:uid="{00000000-0004-0000-0000-000009000000}"/>
    <hyperlink ref="F26" r:id="rId9" xr:uid="{00000000-0004-0000-0000-00000A000000}"/>
    <hyperlink ref="F12" r:id="rId10" xr:uid="{00000000-0004-0000-0000-00000B000000}"/>
    <hyperlink ref="F9" r:id="rId11" xr:uid="{00000000-0004-0000-0000-00000C000000}"/>
    <hyperlink ref="F7" r:id="rId12" xr:uid="{7C619B91-DC0D-4276-B9CF-88452FC373A9}"/>
    <hyperlink ref="N8" r:id="rId13" xr:uid="{0A753131-A7B4-43B7-AFBA-C1CDD8C2D75E}"/>
  </hyperlinks>
  <pageMargins left="0.25" right="0.25" top="0.75" bottom="0.75" header="0.3" footer="0.3"/>
  <pageSetup scale="53" fitToHeight="0" orientation="landscape" horizontalDpi="1200" verticalDpi="1200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C14" sqref="C14"/>
    </sheetView>
  </sheetViews>
  <sheetFormatPr defaultRowHeight="15" x14ac:dyDescent="0.25"/>
  <cols>
    <col min="1" max="1" width="32.140625" customWidth="1"/>
    <col min="2" max="2" width="13.42578125" customWidth="1"/>
    <col min="3" max="3" width="13.28515625" customWidth="1"/>
    <col min="4" max="4" width="11.7109375"/>
    <col min="5" max="5" width="12.85546875" customWidth="1"/>
    <col min="6" max="6" width="24.42578125" customWidth="1"/>
  </cols>
  <sheetData>
    <row r="1" spans="1:6" ht="15.75" x14ac:dyDescent="0.25">
      <c r="A1" s="13"/>
      <c r="B1" s="14" t="s">
        <v>97</v>
      </c>
      <c r="C1" s="14" t="s">
        <v>98</v>
      </c>
      <c r="D1" s="14" t="s">
        <v>99</v>
      </c>
      <c r="E1" s="15" t="s">
        <v>100</v>
      </c>
      <c r="F1" s="16" t="s">
        <v>101</v>
      </c>
    </row>
    <row r="2" spans="1:6" ht="15.75" x14ac:dyDescent="0.25">
      <c r="A2" s="17" t="s">
        <v>102</v>
      </c>
      <c r="B2" s="18">
        <v>39</v>
      </c>
      <c r="C2" s="18">
        <v>21</v>
      </c>
      <c r="D2" s="19">
        <f>SUM(B2:C2)</f>
        <v>60</v>
      </c>
      <c r="E2" s="20">
        <f>D2/$D$9</f>
        <v>0.06</v>
      </c>
      <c r="F2" s="21" t="s">
        <v>117</v>
      </c>
    </row>
    <row r="3" spans="1:6" ht="15.75" x14ac:dyDescent="0.25">
      <c r="A3" s="17" t="s">
        <v>103</v>
      </c>
      <c r="B3" s="18">
        <v>40</v>
      </c>
      <c r="C3" s="18">
        <v>60</v>
      </c>
      <c r="D3" s="19">
        <f t="shared" ref="D3:D8" si="0">SUM(B3:C3)</f>
        <v>100</v>
      </c>
      <c r="E3" s="22">
        <f t="shared" ref="E3:E8" si="1">D3/$D$9</f>
        <v>0.1</v>
      </c>
      <c r="F3" s="18" t="s">
        <v>104</v>
      </c>
    </row>
    <row r="4" spans="1:6" ht="15.75" x14ac:dyDescent="0.25">
      <c r="A4" s="17" t="s">
        <v>105</v>
      </c>
      <c r="B4" s="18">
        <v>50</v>
      </c>
      <c r="C4" s="18">
        <v>50</v>
      </c>
      <c r="D4" s="19">
        <f t="shared" si="0"/>
        <v>100</v>
      </c>
      <c r="E4" s="22">
        <f t="shared" si="1"/>
        <v>0.1</v>
      </c>
      <c r="F4" s="18" t="s">
        <v>113</v>
      </c>
    </row>
    <row r="5" spans="1:6" ht="15.75" x14ac:dyDescent="0.25">
      <c r="A5" s="17" t="s">
        <v>106</v>
      </c>
      <c r="B5" s="18">
        <v>70</v>
      </c>
      <c r="C5" s="18">
        <v>35</v>
      </c>
      <c r="D5" s="19">
        <f t="shared" si="0"/>
        <v>105</v>
      </c>
      <c r="E5" s="22">
        <f t="shared" si="1"/>
        <v>0.105</v>
      </c>
      <c r="F5" s="18" t="s">
        <v>107</v>
      </c>
    </row>
    <row r="6" spans="1:6" ht="15.75" x14ac:dyDescent="0.25">
      <c r="A6" s="17" t="s">
        <v>108</v>
      </c>
      <c r="B6" s="18">
        <v>100</v>
      </c>
      <c r="C6" s="18">
        <v>200</v>
      </c>
      <c r="D6" s="19">
        <f t="shared" si="0"/>
        <v>300</v>
      </c>
      <c r="E6" s="22">
        <f t="shared" si="1"/>
        <v>0.3</v>
      </c>
      <c r="F6" s="18" t="s">
        <v>112</v>
      </c>
    </row>
    <row r="7" spans="1:6" ht="15.75" x14ac:dyDescent="0.25">
      <c r="A7" s="17" t="s">
        <v>109</v>
      </c>
      <c r="B7" s="18">
        <v>7</v>
      </c>
      <c r="C7" s="18">
        <v>78</v>
      </c>
      <c r="D7" s="19">
        <f t="shared" si="0"/>
        <v>85</v>
      </c>
      <c r="E7" s="22">
        <f t="shared" si="1"/>
        <v>8.5000000000000006E-2</v>
      </c>
      <c r="F7" s="18" t="s">
        <v>111</v>
      </c>
    </row>
    <row r="8" spans="1:6" ht="15.75" x14ac:dyDescent="0.25">
      <c r="A8" s="17" t="s">
        <v>96</v>
      </c>
      <c r="B8" s="18">
        <v>0</v>
      </c>
      <c r="C8" s="18">
        <v>250</v>
      </c>
      <c r="D8" s="19">
        <f t="shared" si="0"/>
        <v>250</v>
      </c>
      <c r="E8" s="23">
        <f t="shared" si="1"/>
        <v>0.25</v>
      </c>
      <c r="F8" s="24" t="s">
        <v>110</v>
      </c>
    </row>
    <row r="9" spans="1:6" ht="15.75" x14ac:dyDescent="0.25">
      <c r="A9" s="25" t="s">
        <v>99</v>
      </c>
      <c r="B9" s="26">
        <f>SUM(B2:B8)</f>
        <v>306</v>
      </c>
      <c r="C9" s="26">
        <f>SUM(C2:C8)</f>
        <v>694</v>
      </c>
      <c r="D9" s="26">
        <f>SUM(D2:D8)</f>
        <v>1000</v>
      </c>
    </row>
    <row r="10" spans="1:6" ht="15.75" x14ac:dyDescent="0.25">
      <c r="A10" s="25" t="s">
        <v>100</v>
      </c>
      <c r="B10" s="27">
        <f>B9/D9</f>
        <v>0.30599999999999999</v>
      </c>
      <c r="C10" s="27">
        <f>C9/D9</f>
        <v>0.69399999999999995</v>
      </c>
      <c r="D10" s="28">
        <f>D9/D9</f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b80a06-f029-45c0-84d1-7dad19ce3c61}" enabled="0" method="" siteId="{7ab80a06-f029-45c0-84d1-7dad19ce3c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Grade Breakdown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Recker, Matthew C Lt Col USAF USAFA DF/DFPM</dc:creator>
  <cp:keywords/>
  <dc:description/>
  <cp:lastModifiedBy>Recker, Matthew C Lt Col USAF USAFA DF/DFPM</cp:lastModifiedBy>
  <cp:revision/>
  <cp:lastPrinted>2026-08-05T16:44:44Z</cp:lastPrinted>
  <dcterms:created xsi:type="dcterms:W3CDTF">2026-07-28T21:26:40Z</dcterms:created>
  <dcterms:modified xsi:type="dcterms:W3CDTF">2026-08-06T01:06:18Z</dcterms:modified>
  <cp:category/>
  <cp:contentStatus/>
</cp:coreProperties>
</file>